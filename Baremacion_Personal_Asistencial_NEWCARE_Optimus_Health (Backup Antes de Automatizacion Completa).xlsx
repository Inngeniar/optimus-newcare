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be179f5566a80cf/Optimus Health/Proyecto NEWCARE/"/>
    </mc:Choice>
  </mc:AlternateContent>
  <xr:revisionPtr revIDLastSave="30" documentId="11_F11F2260AD623C64AC690707263311C1670C184A" xr6:coauthVersionLast="47" xr6:coauthVersionMax="47" xr10:uidLastSave="{6603074B-D0B9-40E4-8AA0-B49331716355}"/>
  <bookViews>
    <workbookView xWindow="-38510" yWindow="-1940" windowWidth="37900" windowHeight="21820" tabRatio="806" activeTab="5" xr2:uid="{00000000-000D-0000-FFFF-FFFF00000000}"/>
  </bookViews>
  <sheets>
    <sheet name="1. Metodologia NewCare" sheetId="1" r:id="rId1"/>
    <sheet name="2. Filtros Excluyentes SI-NO" sheetId="2" r:id="rId2"/>
    <sheet name="3. Baremo CV (50 Puntos)" sheetId="3" r:id="rId3"/>
    <sheet name="4. Psicotecnico y Entrevista" sheetId="4" r:id="rId4"/>
    <sheet name="5. Fichas de Cargo NewCare" sheetId="5" r:id="rId5"/>
    <sheet name="6. Registro y Evaluado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I20" i="4"/>
  <c r="I19" i="4"/>
  <c r="I18" i="4"/>
  <c r="I17" i="4"/>
  <c r="I16" i="4"/>
  <c r="I15" i="4"/>
  <c r="I14" i="4"/>
  <c r="I13" i="4"/>
  <c r="I12" i="4"/>
  <c r="I21" i="4" s="1"/>
  <c r="M8" i="4" s="1"/>
  <c r="I7" i="4"/>
  <c r="H7" i="4"/>
  <c r="H8" i="4" s="1"/>
  <c r="I6" i="4"/>
  <c r="H6" i="4"/>
  <c r="G17" i="2"/>
  <c r="D5" i="6" s="1"/>
  <c r="I35" i="6"/>
  <c r="H35" i="6"/>
  <c r="D35" i="6"/>
  <c r="I34" i="6"/>
  <c r="H34" i="6"/>
  <c r="D34" i="6"/>
  <c r="I33" i="6"/>
  <c r="H33" i="6"/>
  <c r="D33" i="6"/>
  <c r="I32" i="6"/>
  <c r="H32" i="6"/>
  <c r="D32" i="6"/>
  <c r="I31" i="6"/>
  <c r="H31" i="6"/>
  <c r="D31" i="6"/>
  <c r="I30" i="6"/>
  <c r="H30" i="6"/>
  <c r="D30" i="6"/>
  <c r="I29" i="6"/>
  <c r="H29" i="6"/>
  <c r="D29" i="6"/>
  <c r="I28" i="6"/>
  <c r="H28" i="6"/>
  <c r="D28" i="6"/>
  <c r="I27" i="6"/>
  <c r="H27" i="6"/>
  <c r="D27" i="6"/>
  <c r="I26" i="6"/>
  <c r="H26" i="6"/>
  <c r="D26" i="6"/>
  <c r="I25" i="6"/>
  <c r="H25" i="6"/>
  <c r="D25" i="6"/>
  <c r="I24" i="6"/>
  <c r="H24" i="6"/>
  <c r="D24" i="6"/>
  <c r="I23" i="6"/>
  <c r="H23" i="6"/>
  <c r="D23" i="6"/>
  <c r="I22" i="6"/>
  <c r="H22" i="6"/>
  <c r="D22" i="6"/>
  <c r="I21" i="6"/>
  <c r="H21" i="6"/>
  <c r="D21" i="6"/>
  <c r="D20" i="6"/>
  <c r="D19" i="6"/>
  <c r="H19" i="6" s="1"/>
  <c r="I19" i="6" s="1"/>
  <c r="D18" i="6"/>
  <c r="D17" i="6"/>
  <c r="D16" i="6"/>
  <c r="D15" i="6"/>
  <c r="D14" i="6"/>
  <c r="D12" i="6"/>
  <c r="H12" i="6" s="1"/>
  <c r="I12" i="6" s="1"/>
  <c r="D11" i="6"/>
  <c r="D10" i="6"/>
  <c r="D9" i="6"/>
  <c r="H9" i="6" s="1"/>
  <c r="D8" i="6"/>
  <c r="D7" i="6"/>
  <c r="H7" i="6" s="1"/>
  <c r="M5" i="6"/>
  <c r="D13" i="6" l="1"/>
  <c r="D6" i="6"/>
  <c r="H6" i="6" s="1"/>
  <c r="I6" i="6" s="1"/>
  <c r="I7" i="6"/>
  <c r="H20" i="6"/>
  <c r="I20" i="6" s="1"/>
  <c r="M6" i="6"/>
  <c r="H5" i="6"/>
  <c r="I5" i="6" s="1"/>
  <c r="I8" i="4"/>
  <c r="M9" i="4"/>
  <c r="M10" i="4" s="1"/>
  <c r="M7" i="4"/>
  <c r="H8" i="6"/>
  <c r="I8" i="6" s="1"/>
  <c r="H14" i="6"/>
  <c r="I14" i="6" s="1"/>
  <c r="H15" i="6"/>
  <c r="I15" i="6" s="1"/>
  <c r="H16" i="6"/>
  <c r="I16" i="6" s="1"/>
  <c r="H10" i="6"/>
  <c r="I10" i="6" s="1"/>
  <c r="H17" i="6"/>
  <c r="I17" i="6" s="1"/>
  <c r="H11" i="6"/>
  <c r="I11" i="6" s="1"/>
  <c r="H18" i="6"/>
  <c r="I18" i="6" s="1"/>
  <c r="I9" i="6"/>
  <c r="H13" i="6"/>
  <c r="I13" i="6" s="1"/>
  <c r="M10" i="6" l="1"/>
  <c r="M7" i="6"/>
  <c r="M9" i="6"/>
  <c r="M8" i="6"/>
  <c r="M11" i="6" l="1"/>
</calcChain>
</file>

<file path=xl/sharedStrings.xml><?xml version="1.0" encoding="utf-8"?>
<sst xmlns="http://schemas.openxmlformats.org/spreadsheetml/2006/main" count="469" uniqueCount="406">
  <si>
    <t>REGISTRO Y CALIFICACIÓN AUTOMATIZADA DE CANDIDATOS • AUDITORÍA NEW HEALTH</t>
  </si>
  <si>
    <t>Evaluación objetiva con cálculo automático de ponderaciones y dictamen de idoneidad institucional</t>
  </si>
  <si>
    <t>N°</t>
  </si>
  <si>
    <t>Nombre del Profesional / Candidato</t>
  </si>
  <si>
    <t>Cargo / Rol Postulado</t>
  </si>
  <si>
    <t>Filtros SI-NO (FLT)</t>
  </si>
  <si>
    <t>Calificación CV (Máx 50)</t>
  </si>
  <si>
    <t>Calificación Psicotécnico (Máx 20)</t>
  </si>
  <si>
    <t>Calificación Entrevista (Máx 30)</t>
  </si>
  <si>
    <t>PUNTAJE FINAL (Máx 100)</t>
  </si>
  <si>
    <t>DICTAMEN FINAL DE AUDITORÍA</t>
  </si>
  <si>
    <t>CUADRO DE MANDO EJECUTIVO (KPIs EN VIVO)</t>
  </si>
  <si>
    <t>Dr. Julio Herrera</t>
  </si>
  <si>
    <t>Director Médico / Líder NewCare</t>
  </si>
  <si>
    <t>Total Candidatos Registrados</t>
  </si>
  <si>
    <t>Enf. Dayana Solipaz</t>
  </si>
  <si>
    <t>Coordinadora Asistencial</t>
  </si>
  <si>
    <t>Superan Filtros Habilitantes</t>
  </si>
  <si>
    <t>Enf. Maria Isabel Borja</t>
  </si>
  <si>
    <t>Gestor de Casos (Case Manager)</t>
  </si>
  <si>
    <t>Idóneos Sobresalientes (&gt;=85)</t>
  </si>
  <si>
    <t>Dr. Jhair Martinez</t>
  </si>
  <si>
    <t>Médico Especialista Internista</t>
  </si>
  <si>
    <t>Idóneos Condicionados (70-84)</t>
  </si>
  <si>
    <t>Dr. Pedro Herrera</t>
  </si>
  <si>
    <t>Médico Especialista Intensivista</t>
  </si>
  <si>
    <t>Descartados / No Idóneos</t>
  </si>
  <si>
    <t>Dra. Janna Arboleda</t>
  </si>
  <si>
    <t>Médico Especialista Pediatra</t>
  </si>
  <si>
    <t>Promedio de Puntaje (Aprobados)</t>
  </si>
  <si>
    <t>Mara Salcedo</t>
  </si>
  <si>
    <t>Profesional de Fisioterapia</t>
  </si>
  <si>
    <t>Tasa de Aprobación Global</t>
  </si>
  <si>
    <t>Melisa Aldana</t>
  </si>
  <si>
    <t>Profesional de Fonoaudiología</t>
  </si>
  <si>
    <t>Angélica Monterroza</t>
  </si>
  <si>
    <t>Profesional de Psicología</t>
  </si>
  <si>
    <t>Sara Chavez</t>
  </si>
  <si>
    <t>Profesional de Nutrición</t>
  </si>
  <si>
    <t>Tatiana Guerra</t>
  </si>
  <si>
    <t>Profesional de Trabajo Social</t>
  </si>
  <si>
    <t>Edgardo Navarro</t>
  </si>
  <si>
    <t>Auxiliar de Enfermería Domiciliaria</t>
  </si>
  <si>
    <t>Luis Carlos Ricardo</t>
  </si>
  <si>
    <t>Luis Sampayo</t>
  </si>
  <si>
    <t>Nubia Solorzano</t>
  </si>
  <si>
    <t>Maria Alejandra Martinez</t>
  </si>
  <si>
    <t>OPTIMUS HEALTH IPS • SEDE PRINCIPAL SINCELEJO, SUCRE</t>
  </si>
  <si>
    <t>MODELO DE SELECCIÓN Y BAREMACIÓN DE PERSONAL ASISTENCIAL • PROGRAMA NEWCARE (FUNDACIÓN NEW HEALTH)</t>
  </si>
  <si>
    <t>1. MARCO NORMATIVO, INSTITUCIONAL Y METODOLÓGICO</t>
  </si>
  <si>
    <t>Resolución 3100 de 2019 (Minsalud Colombia)</t>
  </si>
  <si>
    <t>Estándar de Talento Humano del Sistema Único de Habilitación en Salud para modalidades Intramural y Extramural Domiciliaria.</t>
  </si>
  <si>
    <t>Ley 1733 de 2014 (Ley Consuelo Devis Saavedra)</t>
  </si>
  <si>
    <t>Regula los servicios de Cuidados Paliativos para pacientes con enfermedades crónicas, degenerativas e irreversibles en Colombia.</t>
  </si>
  <si>
    <t>Metodología NEWPALEX® / NewCare (Fundación New Health)</t>
  </si>
  <si>
    <t>Estándar 2.4.2 y Cap. 3: Definición objetiva de Criterios de Selección, Baremación y Competencias del Equipo Asistencial.</t>
  </si>
  <si>
    <t>Política de Calidad y Talento Humano Optimus Health IPS</t>
  </si>
  <si>
    <t>Asegurar la selección del personal más idóneo técnica y humanamente para la atención de Insuficiencias Orgánicas Crónicas Complejas (IOCC).</t>
  </si>
  <si>
    <t>2. ARQUITECTURA DE EVALUACIÓN TRIÁDICA (100 PUNTOS)</t>
  </si>
  <si>
    <t>Componente Evaluativo</t>
  </si>
  <si>
    <t>Ponderación</t>
  </si>
  <si>
    <t>Puntos Máx.</t>
  </si>
  <si>
    <t>Instrumento / Técnica</t>
  </si>
  <si>
    <t>Objetivo Evaluado</t>
  </si>
  <si>
    <t>Responsable Directo</t>
  </si>
  <si>
    <t>Valoración de Hoja de Vida (CV)</t>
  </si>
  <si>
    <t>50%</t>
  </si>
  <si>
    <t>Matriz de Baremos Documentales</t>
  </si>
  <si>
    <t>Acreditar experiencia laboral general y específica (IOCC/Paliativos/Domicilio), posgrados, docencia, investigación y gestión.</t>
  </si>
  <si>
    <t>Comité de Selección y TH</t>
  </si>
  <si>
    <t>Evaluación Psicotécnica</t>
  </si>
  <si>
    <t>20%</t>
  </si>
  <si>
    <t>Batería CPR (60%) + DAS (40%)</t>
  </si>
  <si>
    <t>Evaluar personalidad resistente (compromiso, control, reto), resiliencia ante el sufrimiento y actitudes funcionales.</t>
  </si>
  <si>
    <t>Psicología Organizacional</t>
  </si>
  <si>
    <t>Entrevista Semiestructurada</t>
  </si>
  <si>
    <t>30%</t>
  </si>
  <si>
    <t>Entrevista por Competencias New Health (9 dimensiones)</t>
  </si>
  <si>
    <t>Explorar vocación en crónicos, empatía, manejo de malas noticias (SPIKES), trabajo en equipo y juicio bioético.</t>
  </si>
  <si>
    <t>Líder del Programa + Dirección Médica</t>
  </si>
  <si>
    <t>TOTAL BAREMO NEWCARE</t>
  </si>
  <si>
    <t>100%</t>
  </si>
  <si>
    <t>Calificación Consolidada Ponderada</t>
  </si>
  <si>
    <t>Calificación global para selección definitiva, contratación y plan de formación continuada en los primeros 90 días.</t>
  </si>
  <si>
    <t>Dirección Médica Optimus Health</t>
  </si>
  <si>
    <t>3. ESCALA OFICIAL DE DICTAMEN DE IDONEIDAD</t>
  </si>
  <si>
    <t>&gt;= 85.0 Puntos</t>
  </si>
  <si>
    <t>IDÓNEO SOBRESALIENTE</t>
  </si>
  <si>
    <t>Cumple con el perfil de excelencia NewCare. Asignación inmediata al equipo tratante o gestión de casos sin condicionamiento.</t>
  </si>
  <si>
    <t>70.0 - 84.9 Puntos</t>
  </si>
  <si>
    <t>IDÓNEO CONDICIONADO</t>
  </si>
  <si>
    <t>Apto para contratación. Requiere inducción intensiva y plan de capacitación prioritario NewCare en los primeros 90 días.</t>
  </si>
  <si>
    <t>&lt; 70.0 Puntos</t>
  </si>
  <si>
    <t>NO IDÓNEO</t>
  </si>
  <si>
    <t>No alcanza el umbral de idoneidad exigido por los estándares de la Fundación New Health. Descartado del proceso.</t>
  </si>
  <si>
    <t>CPR = Cuestionario de Personalidad Resistente (60%)</t>
  </si>
  <si>
    <t>Mide la capacidad del profesional para afrontar situaciones de estrés clínico extremo, dolor e incertidumbre sin quemarse (resistencia al síndrome de Burnout) y transformando el estrés en una experiencia de aprendizaje.</t>
  </si>
  <si>
    <t>Dimensión del CPR</t>
  </si>
  <si>
    <t>¿Qué evalúa en el profesional de salud?</t>
  </si>
  <si>
    <t>Aplicación Práctica</t>
  </si>
  <si>
    <t>Compromiso (Commitment)</t>
  </si>
  <si>
    <t>El sentido de propósito e implicación vocacional con su labor.</t>
  </si>
  <si>
    <t>Que el médico, enfermera o terapeuta vea el cuidado de personas crónicas como una labor digna y valiosa, y no como un simple trámite administrativo.</t>
  </si>
  <si>
    <t>Control (Control)</t>
  </si>
  <si>
    <t>El "locus de control interno"; la convicción de que uno puede influir activamente en los acontecimientos mediante sus propias decisiones y habilidades.</t>
  </si>
  <si>
    <t>Que ante una crisis o descompensación domiciliaria, el profesional no se sienta una víctima indefensa de las circunstancias, sino un agente resolutivo y proactivo.</t>
  </si>
  <si>
    <t>Reto o Desafío (Challenge)</t>
  </si>
  <si>
    <t>Percibir los cambios, la complejidad y las dificultades como oportunidades de crecimiento y aprendizaje, no como amenazas destructivas.</t>
  </si>
  <si>
    <t>Que la incertidumbre clínica o la evolución tórpida de un paciente no lo desborde emocionalmente, sino que motive la búsqueda interdisciplinar de soluciones.</t>
  </si>
  <si>
    <t>DAS = Dysfunctional Attitude Scale (40%)</t>
  </si>
  <si>
    <t>Evalúa las creencias rígidas, esquemas irracionales y distorsiones cognitivas que una persona tiene sobre sí misma, su trabajo y sus relaciones con los demás.</t>
  </si>
  <si>
    <t>FILTROS EXCLUYENTES DE SELECCIÓN • CRITERIOS HABILITANTES MÍNIMOS</t>
  </si>
  <si>
    <t>Regla New Health: Cumplimiento 100% obligatorio. Un solo 'NO' descarta automáticamente la postulación.</t>
  </si>
  <si>
    <t>Candidato en Auditoría:</t>
  </si>
  <si>
    <t>Código</t>
  </si>
  <si>
    <t>Requisito Excluyente Habilitante</t>
  </si>
  <si>
    <t>Sustento Normativo / Metodológico</t>
  </si>
  <si>
    <t>Aplica a Roles</t>
  </si>
  <si>
    <t>Medio de Verificación</t>
  </si>
  <si>
    <t>Condición</t>
  </si>
  <si>
    <t>Resultado</t>
  </si>
  <si>
    <t>FLT-01</t>
  </si>
  <si>
    <t>Título Profesional Universitario oficial en salud (o convalidado en Colombia).</t>
  </si>
  <si>
    <t>Ley 30 de 1992, Res. 3100 de 2019</t>
  </si>
  <si>
    <t>Todos los roles profesionales</t>
  </si>
  <si>
    <t>Diploma y Acta de Grado oficial</t>
  </si>
  <si>
    <t>Obligatorio (SÍ / NO)</t>
  </si>
  <si>
    <t>FLT-02</t>
  </si>
  <si>
    <t>Inscripción activa en Registro Único Nacional del Talento Humano en Salud (ReTHUS).</t>
  </si>
  <si>
    <t>Ley 1164 de 2007</t>
  </si>
  <si>
    <t>Todo el personal asistencial</t>
  </si>
  <si>
    <t>Consulta plataforma SISPRO ReTHUS</t>
  </si>
  <si>
    <t>CUMPLE</t>
  </si>
  <si>
    <t>FLT-03</t>
  </si>
  <si>
    <t>Tarjeta Profesional expedida por el colegio profesional respectivo vigente.</t>
  </si>
  <si>
    <t>Colegios Profesionales</t>
  </si>
  <si>
    <t>Carné o certificado colegiado</t>
  </si>
  <si>
    <t>FLT-04</t>
  </si>
  <si>
    <t>Certificado de Formación en Atención a Víctimas de Violencia Sexual (mínimo 40 horas).</t>
  </si>
  <si>
    <t>Resolución 459 de 2012 Minsalud</t>
  </si>
  <si>
    <t>Certificación académica válida</t>
  </si>
  <si>
    <t>FLT-05</t>
  </si>
  <si>
    <t>Certificado vigente de Soporte Vital Básico (BLS) o Avanzado (ACLS) menor a 2 años.</t>
  </si>
  <si>
    <t>Res. 3100 de 2019 Habilitación</t>
  </si>
  <si>
    <t>BLS: Aux/Ter / ACLS: Méd/Enf</t>
  </si>
  <si>
    <t>Certificado avalado AHA o IES</t>
  </si>
  <si>
    <t>FLT-06</t>
  </si>
  <si>
    <t>Ausencia absoluta de sanciones disciplinarias, ético-médicas, fiscales o penales.</t>
  </si>
  <si>
    <t>Tribunales Ética, Procuraduría</t>
  </si>
  <si>
    <t>Certificados de antecedentes vigentes</t>
  </si>
  <si>
    <t>FLT-07</t>
  </si>
  <si>
    <t>Experiencia asistencial clínica mínima certificada de 1 año en atención de adultos.</t>
  </si>
  <si>
    <t>Metodología NewCare Básico</t>
  </si>
  <si>
    <t>Médicos, Enfermeras, Terapeutas</t>
  </si>
  <si>
    <t>Certificaciones laborales formales</t>
  </si>
  <si>
    <t>FLT-08</t>
  </si>
  <si>
    <t>Disponibilidad demostrada para desplazamientos domiciliarios en Sincelejo y subregión.</t>
  </si>
  <si>
    <t>Modelo Extramural Optimus</t>
  </si>
  <si>
    <t>Equipo Extramural y Case Manager</t>
  </si>
  <si>
    <t>Acuerdo operativo en contrato</t>
  </si>
  <si>
    <t>FLT-09</t>
  </si>
  <si>
    <t>Compromiso expreso de vinculación al Plan de Formación y Certificación New Health.</t>
  </si>
  <si>
    <t>Cap. 9 NewCare (Desarrollo)</t>
  </si>
  <si>
    <t>Carta de compromiso suscrita</t>
  </si>
  <si>
    <t>DICTAMEN GLOBAL DE HABILITACIÓN NORMATIVA Y FILTROS (GATEKEEPER)</t>
  </si>
  <si>
    <t>BAREMO PONDERADO DE HOJA DE VIDA / CURRÍCULUM VITAE (MÁXIMO 50 PUNTOS)</t>
  </si>
  <si>
    <t>Distribución oficial New Health: Experiencia (15 pts) + Posgrados (6 pts) + Centros Referencia (7 pts) + Docencia (5.5 pts) + Publicaciones (4.5 pts) + Investigación (5 pts) + Idiomas (2 pts) + Gestión (5 pts)</t>
  </si>
  <si>
    <t>Dimensión Evaluada</t>
  </si>
  <si>
    <t>Peso Oficial</t>
  </si>
  <si>
    <t>Pts Máx</t>
  </si>
  <si>
    <t>Subcriterio Específico de Calificación</t>
  </si>
  <si>
    <t>Puntaje Asignado</t>
  </si>
  <si>
    <t>Tope Rubro</t>
  </si>
  <si>
    <t>Soporte Válido</t>
  </si>
  <si>
    <t>Criterio Auditoría New Health</t>
  </si>
  <si>
    <t>1. Experiencia Laboral</t>
  </si>
  <si>
    <t>Experiencia laboral asistencial general en salud en servicios hospitalarios o ambulatorios (&gt;1 año)</t>
  </si>
  <si>
    <t>1.0 pt por año certificado</t>
  </si>
  <si>
    <t>Certificaciones laborales de IPS</t>
  </si>
  <si>
    <t>Mínimo 1 año para puntuar</t>
  </si>
  <si>
    <t>Experiencia específica en Cuidados Paliativos, Insuficiencias Crónicas Complejas (IOCC) o Atención Domiciliaria</t>
  </si>
  <si>
    <t>2.0 pts por año certificado</t>
  </si>
  <si>
    <t>Certificaciones laborales detalladas</t>
  </si>
  <si>
    <t>Ponderación estratégica NewCare</t>
  </si>
  <si>
    <t>2. Formación Postgrado</t>
  </si>
  <si>
    <t>12%</t>
  </si>
  <si>
    <t>Especialización médico-quirúrgica o Maestría clínica afín (Med. Interna, Familiar, Geriatría, Paliativos)</t>
  </si>
  <si>
    <t>4.0 pts por título</t>
  </si>
  <si>
    <t>Diploma y acta oficial de IES</t>
  </si>
  <si>
    <t>Acreditación universitaria</t>
  </si>
  <si>
    <t>Diplomado formal en Cuidados Paliativos, Dolor o Insuficiencias Crónicas Complejas (&gt;100 horas)</t>
  </si>
  <si>
    <t>2.0 pts por diplomado</t>
  </si>
  <si>
    <t>Certificado entidad académica</t>
  </si>
  <si>
    <t>Cursos menores a 80h no aplican</t>
  </si>
  <si>
    <t>3. Centros de Referencia</t>
  </si>
  <si>
    <t>14%</t>
  </si>
  <si>
    <t>Rotación o pasantía clínica en Unidad o Centro acreditado en Cuidados Paliativos / Red New Health (Nac/Int)</t>
  </si>
  <si>
    <t>3.5 pts por mes rotación</t>
  </si>
  <si>
    <t>Certificado oficial del centro</t>
  </si>
  <si>
    <t>Reconocimiento específico NewCare</t>
  </si>
  <si>
    <t>4. Actividad Docente</t>
  </si>
  <si>
    <t>11%</t>
  </si>
  <si>
    <t>Docencia universitaria de pregrado o posgrado en facultades del área de la salud</t>
  </si>
  <si>
    <t>1.5 pts por semestre</t>
  </si>
  <si>
    <t>Certificación universitaria</t>
  </si>
  <si>
    <t>Cátedras de medicina o enfermería</t>
  </si>
  <si>
    <t>Docente o facilitador en programas de educación a cuidadores, agentes comunitarios o formación en salud</t>
  </si>
  <si>
    <t>1.0 pt por curso</t>
  </si>
  <si>
    <t>Certificado de relatoría/docencia</t>
  </si>
  <si>
    <t>Alineado a redes comunitarias</t>
  </si>
  <si>
    <t>5. Publicaciones</t>
  </si>
  <si>
    <t>9%</t>
  </si>
  <si>
    <t>Artículo publicado en revista científica indexada (Pubmed, Scielo, Redalyc) sobre crónicos, paliativos o salud pública</t>
  </si>
  <si>
    <t>2.5 pts por artículo</t>
  </si>
  <si>
    <t>Copia del artículo con DOI/ISSN</t>
  </si>
  <si>
    <t>Primer autor o coautor</t>
  </si>
  <si>
    <t>Capítulo de libro, guía de práctica clínica o manual institucional publicado con depósito legal</t>
  </si>
  <si>
    <t>1.5 pts por publicación</t>
  </si>
  <si>
    <t>Registro ISBN / Depósito legal</t>
  </si>
  <si>
    <t>Publicación formal</t>
  </si>
  <si>
    <t>6. Investigación</t>
  </si>
  <si>
    <t>10%</t>
  </si>
  <si>
    <t>Investigador en grupo categorizado por MinCiencias o semillero institucional avalado</t>
  </si>
  <si>
    <t>2.5 pts por proyecto activo</t>
  </si>
  <si>
    <t>Certificado MinCiencias / CvLAC</t>
  </si>
  <si>
    <t>Investigación biomédica o social</t>
  </si>
  <si>
    <t>7. Idiomas</t>
  </si>
  <si>
    <t>4%</t>
  </si>
  <si>
    <t>Dominio certificado de segundo idioma (Inglés técnico nivel B2 o superior para lectura de evidencia)</t>
  </si>
  <si>
    <t>2.0 pts (Nivel B2 o C1)</t>
  </si>
  <si>
    <t>Certificado examen oficial</t>
  </si>
  <si>
    <t>Lectura de literatura científica</t>
  </si>
  <si>
    <t>8. Gestión y Calidad</t>
  </si>
  <si>
    <t>Experiencia demostrada en coordinación de servicios de salud, auditoría médica o gestión de casos (Case Management)</t>
  </si>
  <si>
    <t>2.5 pts por año de gestión</t>
  </si>
  <si>
    <t>Certificado de cargo de coordinación</t>
  </si>
  <si>
    <t>Requisito clave para Líder y Case Manager</t>
  </si>
  <si>
    <t>TOTAL BAREMO CV</t>
  </si>
  <si>
    <t>SUMATORIA PONDERADA DE EVALUACIÓN DE HOJA DE VIDA</t>
  </si>
  <si>
    <t>PUNTUACIÓN MÁXIMA POSIBLE</t>
  </si>
  <si>
    <t>EXPEDIENTE VERIFICADO</t>
  </si>
  <si>
    <t>PASA A FASE PSICOTÉCNICA Y ENTREVISTA</t>
  </si>
  <si>
    <t>EVALUACIÓN PSICOTÉCNICA (20 PTS) Y ENTREVISTA POR COMPETENCIAS (30 PTS)</t>
  </si>
  <si>
    <t>Evaluación de personalidad resistente (CPR), actitudes funcionales (DAS) y las 9 dimensiones de la Fundación New Health</t>
  </si>
  <si>
    <t>A. COMPONENTE PSICOTÉCNICO (20 PUNTOS MÁXIMOS)</t>
  </si>
  <si>
    <t>Batería Psicométrica</t>
  </si>
  <si>
    <t>Peso Relativo</t>
  </si>
  <si>
    <t>Factores Evaluados</t>
  </si>
  <si>
    <t>Criterio de Idoneidad</t>
  </si>
  <si>
    <t>Rango de Puntuación</t>
  </si>
  <si>
    <t>Percentil Test (0-100)</t>
  </si>
  <si>
    <t>Puntaje Obtenido (Pts)</t>
  </si>
  <si>
    <t>Dictamen Parcial</t>
  </si>
  <si>
    <t>CALIFICADOR PSICO-RELACIONAL EN VIVO</t>
  </si>
  <si>
    <t>Cuestionario de Personalidad Resistente (CPR)</t>
  </si>
  <si>
    <t>60% del test</t>
  </si>
  <si>
    <t>Compromiso (identificación con su rol de cuidado), Control (locus de control interno y autorregulación), Reto (adaptabilidad y crecimiento ante la adversidad).</t>
  </si>
  <si>
    <t>Puntuación percentil &gt;= 65 en las subescalas.</t>
  </si>
  <si>
    <t>0.0 a 12.0 Puntos</t>
  </si>
  <si>
    <t>Candidato en Evaluación:</t>
  </si>
  <si>
    <t>Escala de Actitudes Disfuncionales (DAS)</t>
  </si>
  <si>
    <t>40% del test</t>
  </si>
  <si>
    <t>Necesidad de aprobación externa, perfeccionismo rígido, omnipotencia profesional vs. autonomía y aceptación de límites terapéuticos.</t>
  </si>
  <si>
    <t>Puntuaciones bajas en disfuncionalidad (Percentil &lt; 40).</t>
  </si>
  <si>
    <t>0.0 a 8.0 Puntos</t>
  </si>
  <si>
    <t>Puntaje Psicotécnico (Máx 20):</t>
  </si>
  <si>
    <t>SUBTOTAL PSICOTÉCNICO</t>
  </si>
  <si>
    <t>Evaluación de estabilidad emocional, afrontamiento del duelo y resistencia al desgaste profesional (Burnout).</t>
  </si>
  <si>
    <t>Mínimo 14.0 Puntos requeridos para idoneidad.</t>
  </si>
  <si>
    <t>0.0 a 20.0 Puntos</t>
  </si>
  <si>
    <t>SUBTOTAL</t>
  </si>
  <si>
    <t>Puntaje Entrevista (Máx 30):</t>
  </si>
  <si>
    <t>TOTAL ETAPA PSICO-RELACIONAL (Máx 50):</t>
  </si>
  <si>
    <t>B. ENTREVISTA SEMIESTRUCTURADA DE COMPETENCIAS NEW HEALTH (30 PUNTOS MÁXIMOS)</t>
  </si>
  <si>
    <t>Dictamen Parcial de la Etapa:</t>
  </si>
  <si>
    <t>Variable / Competencia NewCare</t>
  </si>
  <si>
    <t>Descriptores Conductuales Observables (Escala 0 a 10)</t>
  </si>
  <si>
    <t>Nivel Bajo (0-4)</t>
  </si>
  <si>
    <t>Nivel Medio (5-7)</t>
  </si>
  <si>
    <t>Nivel Alto (8-10)</t>
  </si>
  <si>
    <t>Puntos</t>
  </si>
  <si>
    <t>Nota Evaluador (0 a 10)</t>
  </si>
  <si>
    <t>Puntaje Ponderado</t>
  </si>
  <si>
    <t>Motivación y Vocación en Crónicos</t>
  </si>
  <si>
    <t>Interés genuino por el alivio del sufrimiento en cronicidad avanzada y cuidados paliativos.</t>
  </si>
  <si>
    <t>Poco interés, motivación meramente transaccional.</t>
  </si>
  <si>
    <t>Conoce el modelo, interés estándar.</t>
  </si>
  <si>
    <t>Alta vocación, pasión por el cuidado digno y alivio del sufrimiento.</t>
  </si>
  <si>
    <t>Trabajo en Equipo Interdisciplinar</t>
  </si>
  <si>
    <t>Capacidad de cooperar activamente con médicos, enfermería, psicosociales y red comunitaria.</t>
  </si>
  <si>
    <t>Aislamiento o jerarquía rígida e impositiva.</t>
  </si>
  <si>
    <t>Colabora si se le solicita, cumple su rol.</t>
  </si>
  <si>
    <t>Fomenta sinergia, liderazgo horizontal y respeto interprofesional.</t>
  </si>
  <si>
    <t>Manejo de Conflictos y Crisis</t>
  </si>
  <si>
    <t>Afrontamiento sereno de desacuerdos familiares, claudicación del cuidador y urgencias.</t>
  </si>
  <si>
    <t>Se bloquea ante la tensión o confronta al usuario.</t>
  </si>
  <si>
    <t>Maneja tensión estándar con apoyo.</t>
  </si>
  <si>
    <t>Gran templanza, mediación asertiva y contención de crisis familiares.</t>
  </si>
  <si>
    <t>Trato Humano y Calidez (Compasión)</t>
  </si>
  <si>
    <t>Expresión de cercanía, respeto por la dignidad, ternura y validación emocional del paciente.</t>
  </si>
  <si>
    <t>Trato frío, tecnicista, distante del paciente.</t>
  </si>
  <si>
    <t>Trato cordial y educado convencional.</t>
  </si>
  <si>
    <t>Calidez humana excepcional, empatía profunda y escucha compasiva.</t>
  </si>
  <si>
    <t>Escucha Activa y Empatía</t>
  </si>
  <si>
    <t>Habilidad para captar preocupaciones no verbales, miedos y valores de vida del paciente.</t>
  </si>
  <si>
    <t>Interrumpe, centrado en diligenciar formatos.</t>
  </si>
  <si>
    <t>Escucha los síntomas biológicos.</t>
  </si>
  <si>
    <t>Escucha integral en las cuatro dimensiones del ser humano.</t>
  </si>
  <si>
    <t>Comunicación de Malas Noticias</t>
  </si>
  <si>
    <t>Manejo de pronósticos difíciles, metas de cuidado y conspiración de silencio (Protocolo SPIKES).</t>
  </si>
  <si>
    <t>Evasivo, brusco o incapacidad de contención.</t>
  </si>
  <si>
    <t>Comunica diagnóstico pero sin soporte emocional.</t>
  </si>
  <si>
    <t>Domina comunicación asertiva y acompañamiento en la verdad soportable.</t>
  </si>
  <si>
    <t>Seguridad en Sí Mismo y Juicio Clínico</t>
  </si>
  <si>
    <t>Solvencia en toma de decisiones clínicas y éticas en situaciones de incertidumbre o final de vida.</t>
  </si>
  <si>
    <t>Inseguridad clínica constante, delega todo.</t>
  </si>
  <si>
    <t>Decisiones rutinarias correctas.</t>
  </si>
  <si>
    <t>Criterio clínico sólido, autonomía responsable y deliberación bioética.</t>
  </si>
  <si>
    <t>Apertura al Aprendizaje y Calidad</t>
  </si>
  <si>
    <t>Receptividad a la retroalimentación, auditoría de calidad y formación continuada NewCare.</t>
  </si>
  <si>
    <t>Resistencia al cambio, reactivo ante observaciones.</t>
  </si>
  <si>
    <t>Acepta recomendaciones obligatorias.</t>
  </si>
  <si>
    <t>Proactivo, ávido de aprendizaje continuo y mejora de la práctica clínica.</t>
  </si>
  <si>
    <t>Orientación al Cuidador y Comunidad</t>
  </si>
  <si>
    <t>Sensibilidad hacia la sobrecarga del cuidador (Zarit) y creación de redes de apoyo en Sincelejo.</t>
  </si>
  <si>
    <t>Ignora al cuidador, se enfoca solo en la patología.</t>
  </si>
  <si>
    <t>Identifica al cuidador pero sin plan de apoyo.</t>
  </si>
  <si>
    <t>Integra a la familia como unidad de cuidado y activa redes comunitarias.</t>
  </si>
  <si>
    <t>TOTAL MÁXIMO ENTREVISTA POR COMPETENCIAS (Fórmula: Promedio de notas 0-10 * 3.0 puntos)</t>
  </si>
  <si>
    <t>CATÁLOGO DE PERFILES, COMPETENCIAS Y RESPONSABILIDADES • OPTIMUS HEALTH</t>
  </si>
  <si>
    <t>Estructura alineada con el Organigrama de la IPS y los Estándares de la Fundación New Health</t>
  </si>
  <si>
    <t>Rol / Cargo en el Programa</t>
  </si>
  <si>
    <t>Profesional Designado</t>
  </si>
  <si>
    <t>Nivel Complejidad</t>
  </si>
  <si>
    <t>Requisitos Académicos Mínimos</t>
  </si>
  <si>
    <t>Experiencia Mínima</t>
  </si>
  <si>
    <t>Competencias Clave NewCare</t>
  </si>
  <si>
    <t>Funciones Principales en el Modelo</t>
  </si>
  <si>
    <t>Transversal (Media y Alta)</t>
  </si>
  <si>
    <t>Médico Especialista en Medicina Interna o Geriatría con formación en Cuidados Paliativos y Dirección en Salud.</t>
  </si>
  <si>
    <t>&gt;= 3 años clínico, &gt;= 2 años dirección</t>
  </si>
  <si>
    <t>Liderazgo colaborativo, visión integradora, interlocución con EPS, aseguramiento de estándares NewCare.</t>
  </si>
  <si>
    <t>Liderar clínicamente el programa, presidir la Junta de Cronicidad Clínica, validar planes PAII de alta complejidad, supervisar auditorías de calidad.</t>
  </si>
  <si>
    <t>Transversal Operativa</t>
  </si>
  <si>
    <t>Profesional en Enfermería o área de la salud con experiencia en administración o gerencia de servicios.</t>
  </si>
  <si>
    <t>&gt;= 2 años en coordinación</t>
  </si>
  <si>
    <t>Gestión operativa de recursos, monitoreo de oportunidad, liderazgo de equipos y seguimiento a indicadores.</t>
  </si>
  <si>
    <t>Coordinar la operación del programa, gestionar agendas y rutas, supervisar el cumplimiento de actividades y evaluar metas de cobertura.</t>
  </si>
  <si>
    <t>Profesional en Enfermería con diplomado en Cuidados Paliativos o Gestión de Casos Crónicos.</t>
  </si>
  <si>
    <t>&gt;= 2 años asistencial / domiciliaria</t>
  </si>
  <si>
    <t>Coordinación sociosanitaria, seguimiento proactivo, empatía, manejo de transiciones y comunicación fluida.</t>
  </si>
  <si>
    <t>Monitorear la cohorte activa, coordinar transiciones hospital-domicilio, asegurar oportunidad de citas y medicamentos, enlace permanente con la familia.</t>
  </si>
  <si>
    <t>Alta Complejidad</t>
  </si>
  <si>
    <t>Médico Especialista en Medicina Interna debidamente titulado y registrado en ReTHUS.</t>
  </si>
  <si>
    <t>&gt;= 3 años en crónicos avanzados</t>
  </si>
  <si>
    <t>Manejo integral de comorbilidades complejas, titulación de tratamientos avanzados y ajuste terapéutico.</t>
  </si>
  <si>
    <t>Realizar valoraciones especializadas, orientar decisiones clínicas complejas, participar en Junta de Cronicidad y adecuar el esfuerzo terapéutico.</t>
  </si>
  <si>
    <t>Médico Especialista en Cuidado Intensivo debidamente registrado en ReTHUS.</t>
  </si>
  <si>
    <t>&gt;= 3 años en UCI</t>
  </si>
  <si>
    <t>Manejo de falla orgánica múltiple, soporte invasivo y adecuación terapéutica en agudizaciones.</t>
  </si>
  <si>
    <t>Soporte en descompensaciones críticas, asesoría en transición a cuidados paliativos y bioética en limitación de soporte.</t>
  </si>
  <si>
    <t>Alta Complejidad Pediátrica</t>
  </si>
  <si>
    <t>Médico Especialista en Pediatría con ReTHUS.</t>
  </si>
  <si>
    <t>&gt;= 2 años en pediatría clínica</t>
  </si>
  <si>
    <t>Manejo de condiciones crónicas complejas pediátricas, soporte a padres y cuidadores.</t>
  </si>
  <si>
    <t>Atención y seguimiento de casos crónicos pediátricos que ingresen a la ruta de atención institucional.</t>
  </si>
  <si>
    <t>Médico General Domiciliario / Ambulatorio</t>
  </si>
  <si>
    <t>Por Definir / En Proceso</t>
  </si>
  <si>
    <t>Básica y Media Complejidad</t>
  </si>
  <si>
    <t>Médico General con registro ReTHUS. Deseable formación en dolor y cronicidad.</t>
  </si>
  <si>
    <t>&gt;= 1 año asistencial</t>
  </si>
  <si>
    <t>Valoración multidimensional, titulación de analgesia, manejo de descompensaciones en domicilio.</t>
  </si>
  <si>
    <t>Realizar valoraciones multidimensionales, formular y actualizar el PAI, atender descompensaciones domiciliarias y reportar a la Jefatura.</t>
  </si>
  <si>
    <t>Auxiliares de Enfermería Domiciliaria</t>
  </si>
  <si>
    <t>Edgardo Navarro, Luis Carlos Ricardo, Luis Sampayo, Nubia Solorzano, Maria Alejandra Martinez</t>
  </si>
  <si>
    <t>Técnicos Laborales en Auxiliar de Enfermería con registro ReTHUS y BLS vigente.</t>
  </si>
  <si>
    <t>&gt;= 1 año en crónicos / domicilio</t>
  </si>
  <si>
    <t>Calidez, toma rigurosa de signos vitales, higiene y confort, cambios posturales, prevención de caídas y UPP.</t>
  </si>
  <si>
    <t>Cuidado directo en domicilio, administración segura de medicamentos, educación práctica al cuidador y alerta temprana de descompensación.</t>
  </si>
  <si>
    <t>Fisioterapeuta</t>
  </si>
  <si>
    <t>Profesional en Fisioterapia con ReTHUS. Formación en rehabilitación del adulto mayor.</t>
  </si>
  <si>
    <t>&gt;= 1 año en rehabilitación</t>
  </si>
  <si>
    <t>Mantenimiento funcional, fisioterapia respiratoria en EPOC, movilización segura y prevención de atrofia.</t>
  </si>
  <si>
    <t>Ejecutar pautas de rehabilitación motora y respiratoria según PAI, capacitar al cuidador en movilización y transferencias seguras.</t>
  </si>
  <si>
    <t>Fonoaudiólogo</t>
  </si>
  <si>
    <t>Media y Alta Complejidad</t>
  </si>
  <si>
    <t>Profesional en Fonoaudiología con ReTHUS.</t>
  </si>
  <si>
    <t>&gt;= 1 año en deglución/comunicación</t>
  </si>
  <si>
    <t>Evaluación de disfagia neurogénica/estructural, prevención de broncoaspiración, comunicación adaptativa.</t>
  </si>
  <si>
    <t>Valorar y rehabilitar trastornos de deglución y comunicación, orientar consistencias de dieta y técnicas de alimentación segura.</t>
  </si>
  <si>
    <t>Psicólogo</t>
  </si>
  <si>
    <t>Transversal</t>
  </si>
  <si>
    <t>Profesional en Psicología con ReTHUS. Formación en Psicología Clínica, de la Salud o Duelo.</t>
  </si>
  <si>
    <t>&gt;= 2 años en salud / crónicos</t>
  </si>
  <si>
    <t>Contención emocional, manejo del impacto diagnóstico, ansiedad, depresión y claudicación del cuidador (Zarit).</t>
  </si>
  <si>
    <t>Brindar apoyo psicológico continuo al paciente y familia, facilitar la Planificación Anticipada de Decisiones (PAD) y duelo.</t>
  </si>
  <si>
    <t>Nutricionista</t>
  </si>
  <si>
    <t>Profesional en Nutrición y Dietética con ReTHUS.</t>
  </si>
  <si>
    <t>&gt;= 1 año en nutrición clínica</t>
  </si>
  <si>
    <t>Valoración nutricional (MNA), manejo de desnutrición sarcopénica, prescripción de dietas terapéuticas.</t>
  </si>
  <si>
    <t>Diseñar y monitorear planes nutricionales ajustados a insuficiencias orgánicas (restricción hídrica, renal, hiposódica).</t>
  </si>
  <si>
    <t>Trabajador Social</t>
  </si>
  <si>
    <t>Profesional en Trabajo Social con ReTHUS.</t>
  </si>
  <si>
    <t>&gt;= 2 años en salud comunitaria</t>
  </si>
  <si>
    <t>Diagnóstico sociofamiliar (Gijón), activación de redes de apoyo, gestión comunitaria y voluntariado.</t>
  </si>
  <si>
    <t>Evaluar riesgos sociales familiares, articular recursos comunitarios en Sincelejo, dinamizar el voluntariado y la asamblea de pacientes.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</si>
</sst>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"/>
    <numFmt numFmtId="165" formatCode="0.0%"/>
  </numFmts>
  <fonts count="16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b/>
      <sz val="10"/>
      <color rgb="FFFFFFFF"/>
      <name val="Calibri"/>
      <family val="2"/>
    </font>
    <font>
      <b/>
      <sz val="12"/>
      <color rgb="FF073763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rgb="FF073763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73763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1C4587"/>
        <bgColor rgb="FF1C4587"/>
      </patternFill>
    </fill>
    <fill>
      <patternFill patternType="solid">
        <fgColor rgb="FFE8EEF5"/>
        <bgColor rgb="FFE8EEF5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7F9FC"/>
        <bgColor rgb="FFF7F9F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73763"/>
        <bgColor rgb="FF073763"/>
      </patternFill>
    </fill>
    <fill>
      <patternFill patternType="solid">
        <fgColor rgb="FFE8EEF5"/>
        <bgColor rgb="FFE8EEF5"/>
      </patternFill>
    </fill>
    <fill>
      <patternFill patternType="solid">
        <fgColor rgb="FFF7F9FC"/>
        <bgColor rgb="FFF7F9FC"/>
      </patternFill>
    </fill>
    <fill>
      <patternFill patternType="solid">
        <fgColor rgb="FF073763"/>
        <bgColor rgb="FF073763"/>
      </patternFill>
    </fill>
    <fill>
      <patternFill patternType="solid">
        <fgColor rgb="FFE8EEF5"/>
        <bgColor rgb="FFE8EEF5"/>
      </patternFill>
    </fill>
    <fill>
      <patternFill patternType="solid">
        <fgColor rgb="FFF7F9FC"/>
        <bgColor rgb="FFF7F9FC"/>
      </patternFill>
    </fill>
    <fill>
      <patternFill patternType="solid">
        <fgColor rgb="FFE8EEF5"/>
        <bgColor rgb="FFE8EEF5"/>
      </patternFill>
    </fill>
  </fills>
  <borders count="11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/>
      <top/>
      <bottom style="thin">
        <color rgb="FFB0C4D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0C4DE"/>
      </right>
      <top style="thin">
        <color rgb="FFB0C4DE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indexed="64"/>
      </bottom>
      <diagonal/>
    </border>
    <border>
      <left/>
      <right/>
      <top style="thin">
        <color rgb="FFB0C4DE"/>
      </top>
      <bottom style="thin">
        <color rgb="FFB0C4DE"/>
      </bottom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4" fillId="8" borderId="1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0" fillId="0" borderId="3" xfId="0" applyBorder="1" applyAlignment="1">
      <alignment horizontal="justify" vertical="center" wrapText="1"/>
    </xf>
    <xf numFmtId="0" fontId="6" fillId="0" borderId="3" xfId="0" applyFont="1" applyBorder="1" applyAlignment="1">
      <alignment horizontal="left" vertical="center" wrapText="1" indent="1"/>
    </xf>
    <xf numFmtId="0" fontId="6" fillId="9" borderId="0" xfId="0" applyFont="1" applyFill="1" applyAlignment="1">
      <alignment horizontal="right" vertical="center" wrapText="1" indent="1"/>
    </xf>
    <xf numFmtId="0" fontId="6" fillId="9" borderId="0" xfId="0" applyFont="1" applyFill="1" applyAlignment="1">
      <alignment horizontal="right" vertical="center" wrapText="1"/>
    </xf>
    <xf numFmtId="0" fontId="8" fillId="11" borderId="9" xfId="0" applyFont="1" applyFill="1" applyBorder="1" applyAlignment="1">
      <alignment horizontal="center" vertical="center"/>
    </xf>
    <xf numFmtId="0" fontId="11" fillId="13" borderId="1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15" borderId="10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2" fillId="14" borderId="1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2" fillId="9" borderId="1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0" fontId="1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9" fillId="0" borderId="9" xfId="0" applyNumberFormat="1" applyFont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3" fontId="9" fillId="12" borderId="9" xfId="0" applyNumberFormat="1" applyFont="1" applyFill="1" applyBorder="1" applyAlignment="1">
      <alignment horizontal="center" vertical="center" wrapText="1"/>
    </xf>
    <xf numFmtId="164" fontId="9" fillId="12" borderId="9" xfId="0" applyNumberFormat="1" applyFont="1" applyFill="1" applyBorder="1" applyAlignment="1">
      <alignment horizontal="center" vertical="center" wrapText="1"/>
    </xf>
    <xf numFmtId="165" fontId="9" fillId="11" borderId="9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0" fillId="12" borderId="10" xfId="0" applyFont="1" applyFill="1" applyBorder="1" applyAlignment="1">
      <alignment horizontal="left" vertical="center" wrapText="1"/>
    </xf>
    <xf numFmtId="0" fontId="0" fillId="0" borderId="8" xfId="0" applyBorder="1" applyAlignment="1">
      <alignment wrapText="1"/>
    </xf>
    <xf numFmtId="0" fontId="10" fillId="0" borderId="10" xfId="0" applyFont="1" applyBorder="1" applyAlignment="1">
      <alignment horizontal="left" vertical="center" wrapText="1"/>
    </xf>
    <xf numFmtId="0" fontId="9" fillId="11" borderId="10" xfId="0" applyFont="1" applyFill="1" applyBorder="1" applyAlignment="1">
      <alignment horizontal="left" vertical="center" wrapText="1"/>
    </xf>
    <xf numFmtId="0" fontId="7" fillId="10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10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 applyAlignment="1">
      <alignment horizontal="justify" vertical="center" wrapText="1"/>
    </xf>
    <xf numFmtId="0" fontId="0" fillId="0" borderId="5" xfId="0" applyBorder="1"/>
    <xf numFmtId="0" fontId="5" fillId="6" borderId="10" xfId="0" applyFont="1" applyFill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3" fillId="0" borderId="2" xfId="0" applyFont="1" applyBorder="1" applyAlignment="1">
      <alignment horizontal="left" vertical="center" wrapText="1" indent="1"/>
    </xf>
    <xf numFmtId="0" fontId="0" fillId="0" borderId="2" xfId="0" applyBorder="1"/>
    <xf numFmtId="0" fontId="5" fillId="5" borderId="10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5" fillId="7" borderId="10" xfId="0" applyFont="1" applyFill="1" applyBorder="1" applyAlignment="1">
      <alignment vertical="center" wrapText="1"/>
    </xf>
    <xf numFmtId="0" fontId="7" fillId="10" borderId="10" xfId="0" applyFont="1" applyFill="1" applyBorder="1" applyAlignment="1">
      <alignment horizontal="center" vertical="center"/>
    </xf>
    <xf numFmtId="0" fontId="15" fillId="16" borderId="0" xfId="0" applyFont="1" applyFill="1" applyAlignment="1">
      <alignment horizontal="center" vertical="center"/>
    </xf>
    <xf numFmtId="0" fontId="4" fillId="4" borderId="10" xfId="0" applyFont="1" applyFill="1" applyBorder="1" applyAlignment="1">
      <alignment vertical="center" wrapText="1"/>
    </xf>
    <xf numFmtId="0" fontId="12" fillId="14" borderId="10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3" fillId="15" borderId="10" xfId="0" applyFont="1" applyFill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1" fillId="13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ont>
        <b/>
        <sz val="10"/>
        <color rgb="FFC00000"/>
        <name val="Calibri"/>
      </font>
      <fill>
        <patternFill patternType="solid">
          <fgColor rgb="FFFCE4D6"/>
          <bgColor rgb="FFFCE4D6"/>
        </patternFill>
      </fill>
    </dxf>
    <dxf>
      <font>
        <b/>
        <sz val="10"/>
        <color rgb="FFB25900"/>
        <name val="Calibri"/>
      </font>
      <fill>
        <patternFill patternType="solid">
          <fgColor rgb="FFFFF2CC"/>
          <bgColor rgb="FFFFF2CC"/>
        </patternFill>
      </fill>
    </dxf>
    <dxf>
      <font>
        <b/>
        <sz val="10"/>
        <color rgb="FF276A3C"/>
        <name val="Calibri"/>
      </font>
      <fill>
        <patternFill patternType="solid">
          <fgColor rgb="FFE2F0D9"/>
          <bgColor rgb="FFE2F0D9"/>
        </patternFill>
      </fill>
    </dxf>
    <dxf>
      <font>
        <b/>
        <sz val="10"/>
        <color rgb="FFC00000"/>
        <name val="Calibri"/>
      </font>
      <fill>
        <patternFill patternType="solid">
          <fgColor rgb="FFFCE4D6"/>
          <bgColor rgb="FFFCE4D6"/>
        </patternFill>
      </fill>
    </dxf>
    <dxf>
      <font>
        <b/>
        <sz val="10"/>
        <color rgb="FFB25900"/>
        <name val="Calibri"/>
      </font>
      <fill>
        <patternFill patternType="solid">
          <fgColor rgb="FFFFF2CC"/>
          <bgColor rgb="FFFFF2CC"/>
        </patternFill>
      </fill>
    </dxf>
    <dxf>
      <font>
        <b/>
        <sz val="10"/>
        <color rgb="FF276A3C"/>
        <name val="Calibri"/>
      </font>
      <fill>
        <patternFill patternType="solid">
          <fgColor rgb="FFE2F0D9"/>
          <bgColor rgb="FFE2F0D9"/>
        </patternFill>
      </fill>
    </dxf>
  </dxfs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1125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1125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1125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1125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1125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1125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showGridLines="0" workbookViewId="0">
      <selection activeCell="E29" sqref="E29"/>
    </sheetView>
  </sheetViews>
  <sheetFormatPr baseColWidth="10" defaultColWidth="8.7265625" defaultRowHeight="14.5" x14ac:dyDescent="0.35"/>
  <cols>
    <col min="1" max="1" width="50.54296875" style="2" customWidth="1"/>
    <col min="2" max="2" width="21.26953125" style="2" customWidth="1"/>
    <col min="3" max="3" width="15" style="2" customWidth="1"/>
    <col min="4" max="4" width="32.7265625" style="2" customWidth="1"/>
    <col min="5" max="5" width="58.6328125" style="2" customWidth="1"/>
    <col min="6" max="6" width="30" style="2" customWidth="1"/>
    <col min="7" max="7" width="20" style="2" customWidth="1"/>
    <col min="8" max="8" width="15" style="2" customWidth="1"/>
    <col min="9" max="11" width="8.7265625" style="2" customWidth="1"/>
    <col min="12" max="16384" width="8.7265625" style="2"/>
  </cols>
  <sheetData>
    <row r="1" spans="1:8" ht="36" customHeight="1" x14ac:dyDescent="0.35">
      <c r="C1" s="55" t="s">
        <v>47</v>
      </c>
      <c r="D1" s="54"/>
      <c r="E1" s="54"/>
      <c r="F1" s="54"/>
      <c r="G1" s="54"/>
      <c r="H1" s="54"/>
    </row>
    <row r="2" spans="1:8" ht="24" customHeight="1" x14ac:dyDescent="0.35">
      <c r="C2" s="53" t="s">
        <v>48</v>
      </c>
      <c r="D2" s="54"/>
      <c r="E2" s="54"/>
      <c r="F2" s="54"/>
      <c r="G2" s="54"/>
      <c r="H2" s="54"/>
    </row>
    <row r="3" spans="1:8" ht="15" customHeight="1" x14ac:dyDescent="0.35"/>
    <row r="4" spans="1:8" ht="31" customHeight="1" x14ac:dyDescent="0.35">
      <c r="A4" s="75" t="s">
        <v>49</v>
      </c>
      <c r="B4" s="54"/>
      <c r="C4" s="54"/>
    </row>
    <row r="5" spans="1:8" ht="22.5" customHeight="1" x14ac:dyDescent="0.35">
      <c r="A5" s="25" t="s">
        <v>50</v>
      </c>
      <c r="B5" s="64" t="s">
        <v>51</v>
      </c>
      <c r="C5" s="54"/>
      <c r="D5" s="54"/>
      <c r="E5" s="54"/>
      <c r="F5" s="54"/>
      <c r="G5" s="54"/>
      <c r="H5" s="54"/>
    </row>
    <row r="6" spans="1:8" ht="22.5" customHeight="1" x14ac:dyDescent="0.35">
      <c r="A6" s="25" t="s">
        <v>52</v>
      </c>
      <c r="B6" s="64" t="s">
        <v>53</v>
      </c>
      <c r="C6" s="54"/>
      <c r="D6" s="54"/>
      <c r="E6" s="54"/>
      <c r="F6" s="54"/>
      <c r="G6" s="54"/>
      <c r="H6" s="54"/>
    </row>
    <row r="7" spans="1:8" ht="22.5" customHeight="1" x14ac:dyDescent="0.35">
      <c r="A7" s="25" t="s">
        <v>54</v>
      </c>
      <c r="B7" s="64" t="s">
        <v>55</v>
      </c>
      <c r="C7" s="54"/>
      <c r="D7" s="54"/>
      <c r="E7" s="54"/>
      <c r="F7" s="54"/>
      <c r="G7" s="54"/>
      <c r="H7" s="54"/>
    </row>
    <row r="8" spans="1:8" ht="22.5" customHeight="1" x14ac:dyDescent="0.35">
      <c r="A8" s="25" t="s">
        <v>56</v>
      </c>
      <c r="B8" s="64" t="s">
        <v>57</v>
      </c>
      <c r="C8" s="54"/>
      <c r="D8" s="54"/>
      <c r="E8" s="54"/>
      <c r="F8" s="54"/>
      <c r="G8" s="54"/>
      <c r="H8" s="54"/>
    </row>
    <row r="10" spans="1:8" ht="46.5" customHeight="1" x14ac:dyDescent="0.35">
      <c r="A10" s="16" t="s">
        <v>58</v>
      </c>
    </row>
    <row r="11" spans="1:8" ht="31.5" customHeight="1" x14ac:dyDescent="0.35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64</v>
      </c>
    </row>
    <row r="12" spans="1:8" ht="36.5" customHeight="1" x14ac:dyDescent="0.35">
      <c r="A12" s="9" t="s">
        <v>65</v>
      </c>
      <c r="B12" s="4" t="s">
        <v>66</v>
      </c>
      <c r="C12" s="4">
        <v>50</v>
      </c>
      <c r="D12" s="9" t="s">
        <v>67</v>
      </c>
      <c r="E12" s="9" t="s">
        <v>68</v>
      </c>
      <c r="F12" s="9" t="s">
        <v>69</v>
      </c>
    </row>
    <row r="13" spans="1:8" ht="36.5" customHeight="1" x14ac:dyDescent="0.35">
      <c r="A13" s="9" t="s">
        <v>70</v>
      </c>
      <c r="B13" s="4" t="s">
        <v>71</v>
      </c>
      <c r="C13" s="4">
        <v>20</v>
      </c>
      <c r="D13" s="9" t="s">
        <v>72</v>
      </c>
      <c r="E13" s="9" t="s">
        <v>73</v>
      </c>
      <c r="F13" s="9" t="s">
        <v>74</v>
      </c>
    </row>
    <row r="14" spans="1:8" ht="36.5" customHeight="1" x14ac:dyDescent="0.35">
      <c r="A14" s="9" t="s">
        <v>75</v>
      </c>
      <c r="B14" s="4" t="s">
        <v>76</v>
      </c>
      <c r="C14" s="4">
        <v>30</v>
      </c>
      <c r="D14" s="9" t="s">
        <v>77</v>
      </c>
      <c r="E14" s="9" t="s">
        <v>78</v>
      </c>
      <c r="F14" s="9" t="s">
        <v>79</v>
      </c>
    </row>
    <row r="15" spans="1:8" ht="36.5" customHeight="1" x14ac:dyDescent="0.35">
      <c r="A15" s="7" t="s">
        <v>80</v>
      </c>
      <c r="B15" s="8" t="s">
        <v>81</v>
      </c>
      <c r="C15" s="8">
        <v>100</v>
      </c>
      <c r="D15" s="7" t="s">
        <v>82</v>
      </c>
      <c r="E15" s="7" t="s">
        <v>83</v>
      </c>
      <c r="F15" s="7" t="s">
        <v>84</v>
      </c>
    </row>
    <row r="16" spans="1:8" ht="23" customHeight="1" x14ac:dyDescent="0.35"/>
    <row r="17" spans="1:6" ht="23" customHeight="1" x14ac:dyDescent="0.35">
      <c r="A17" s="72" t="s">
        <v>85</v>
      </c>
      <c r="B17" s="73"/>
    </row>
    <row r="18" spans="1:6" ht="23" customHeight="1" x14ac:dyDescent="0.35">
      <c r="A18" s="20" t="s">
        <v>86</v>
      </c>
      <c r="B18" s="17" t="s">
        <v>87</v>
      </c>
      <c r="C18" s="74" t="s">
        <v>88</v>
      </c>
      <c r="D18" s="70"/>
      <c r="E18" s="70"/>
      <c r="F18" s="71"/>
    </row>
    <row r="19" spans="1:6" ht="23" customHeight="1" x14ac:dyDescent="0.35">
      <c r="A19" s="21" t="s">
        <v>89</v>
      </c>
      <c r="B19" s="18" t="s">
        <v>90</v>
      </c>
      <c r="C19" s="69" t="s">
        <v>91</v>
      </c>
      <c r="D19" s="70"/>
      <c r="E19" s="70"/>
      <c r="F19" s="71"/>
    </row>
    <row r="20" spans="1:6" ht="23" customHeight="1" x14ac:dyDescent="0.35">
      <c r="A20" s="22" t="s">
        <v>92</v>
      </c>
      <c r="B20" s="19" t="s">
        <v>93</v>
      </c>
      <c r="C20" s="76" t="s">
        <v>94</v>
      </c>
      <c r="D20" s="70"/>
      <c r="E20" s="70"/>
      <c r="F20" s="71"/>
    </row>
    <row r="24" spans="1:6" ht="31" customHeight="1" x14ac:dyDescent="0.35">
      <c r="A24" s="29" t="s">
        <v>95</v>
      </c>
      <c r="B24" s="63" t="s">
        <v>96</v>
      </c>
      <c r="C24" s="54"/>
      <c r="D24" s="54"/>
      <c r="E24" s="54"/>
    </row>
    <row r="26" spans="1:6" ht="29" customHeight="1" x14ac:dyDescent="0.35">
      <c r="A26" s="1" t="s">
        <v>97</v>
      </c>
      <c r="B26" s="65" t="s">
        <v>98</v>
      </c>
      <c r="C26" s="66"/>
      <c r="D26" s="1" t="s">
        <v>99</v>
      </c>
    </row>
    <row r="27" spans="1:6" ht="83.5" customHeight="1" x14ac:dyDescent="0.35">
      <c r="A27" s="27" t="s">
        <v>100</v>
      </c>
      <c r="B27" s="67" t="s">
        <v>101</v>
      </c>
      <c r="C27" s="68"/>
      <c r="D27" s="26" t="s">
        <v>102</v>
      </c>
    </row>
    <row r="28" spans="1:6" ht="83.5" customHeight="1" x14ac:dyDescent="0.35">
      <c r="A28" s="27" t="s">
        <v>103</v>
      </c>
      <c r="B28" s="67" t="s">
        <v>104</v>
      </c>
      <c r="C28" s="68"/>
      <c r="D28" s="26" t="s">
        <v>105</v>
      </c>
    </row>
    <row r="29" spans="1:6" ht="83.5" customHeight="1" x14ac:dyDescent="0.35">
      <c r="A29" s="27" t="s">
        <v>106</v>
      </c>
      <c r="B29" s="67" t="s">
        <v>107</v>
      </c>
      <c r="C29" s="68"/>
      <c r="D29" s="26" t="s">
        <v>108</v>
      </c>
    </row>
    <row r="32" spans="1:6" ht="37.5" customHeight="1" x14ac:dyDescent="0.35">
      <c r="A32" s="28" t="s">
        <v>109</v>
      </c>
      <c r="B32" s="63" t="s">
        <v>110</v>
      </c>
      <c r="C32" s="54"/>
      <c r="D32" s="54"/>
      <c r="E32" s="54"/>
    </row>
  </sheetData>
  <mergeCells count="17">
    <mergeCell ref="B28:C28"/>
    <mergeCell ref="C1:H1"/>
    <mergeCell ref="B32:E32"/>
    <mergeCell ref="B6:H6"/>
    <mergeCell ref="B24:E24"/>
    <mergeCell ref="B7:H7"/>
    <mergeCell ref="B26:C26"/>
    <mergeCell ref="B27:C27"/>
    <mergeCell ref="C19:F19"/>
    <mergeCell ref="A17:B17"/>
    <mergeCell ref="B8:H8"/>
    <mergeCell ref="C18:F18"/>
    <mergeCell ref="C2:H2"/>
    <mergeCell ref="A4:C4"/>
    <mergeCell ref="B29:C29"/>
    <mergeCell ref="B5:H5"/>
    <mergeCell ref="C20:F20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showGridLines="0" workbookViewId="0">
      <selection activeCell="G41" sqref="G41"/>
    </sheetView>
  </sheetViews>
  <sheetFormatPr baseColWidth="10" defaultColWidth="8.7265625" defaultRowHeight="14.5" x14ac:dyDescent="0.35"/>
  <cols>
    <col min="1" max="1" width="12" style="2" customWidth="1"/>
    <col min="2" max="2" width="42" style="2" customWidth="1"/>
    <col min="3" max="3" width="32" style="2" customWidth="1"/>
    <col min="4" max="4" width="25" style="2" customWidth="1"/>
    <col min="5" max="5" width="30" style="2" customWidth="1"/>
    <col min="6" max="6" width="20" style="2" customWidth="1"/>
    <col min="7" max="7" width="22.81640625" style="2" bestFit="1" customWidth="1"/>
    <col min="8" max="10" width="8.7265625" style="2" customWidth="1"/>
    <col min="11" max="16384" width="8.7265625" style="2"/>
  </cols>
  <sheetData>
    <row r="1" spans="1:7" ht="36" customHeight="1" x14ac:dyDescent="0.35">
      <c r="C1" s="55" t="s">
        <v>111</v>
      </c>
      <c r="D1" s="54"/>
      <c r="E1" s="54"/>
      <c r="F1" s="54"/>
      <c r="G1" s="54"/>
    </row>
    <row r="2" spans="1:7" ht="24" customHeight="1" x14ac:dyDescent="0.35">
      <c r="C2" s="53" t="s">
        <v>112</v>
      </c>
      <c r="D2" s="54"/>
      <c r="E2" s="54"/>
      <c r="F2" s="54"/>
      <c r="G2" s="54"/>
    </row>
    <row r="3" spans="1:7" ht="5" customHeight="1" x14ac:dyDescent="0.35"/>
    <row r="4" spans="1:7" ht="22" customHeight="1" x14ac:dyDescent="0.35">
      <c r="B4" s="42" t="s">
        <v>113</v>
      </c>
      <c r="C4" s="78" t="s">
        <v>15</v>
      </c>
      <c r="D4" s="54"/>
      <c r="E4" s="54"/>
    </row>
    <row r="5" spans="1:7" ht="5" customHeight="1" x14ac:dyDescent="0.35"/>
    <row r="6" spans="1:7" ht="25" customHeight="1" x14ac:dyDescent="0.35">
      <c r="A6" s="1" t="s">
        <v>114</v>
      </c>
      <c r="B6" s="1" t="s">
        <v>115</v>
      </c>
      <c r="C6" s="1" t="s">
        <v>116</v>
      </c>
      <c r="D6" s="1" t="s">
        <v>117</v>
      </c>
      <c r="E6" s="1" t="s">
        <v>118</v>
      </c>
      <c r="F6" s="1" t="s">
        <v>119</v>
      </c>
      <c r="G6" s="1" t="s">
        <v>120</v>
      </c>
    </row>
    <row r="7" spans="1:7" ht="30" customHeight="1" x14ac:dyDescent="0.35">
      <c r="A7" s="14" t="s">
        <v>121</v>
      </c>
      <c r="B7" s="9" t="s">
        <v>122</v>
      </c>
      <c r="C7" s="9" t="s">
        <v>123</v>
      </c>
      <c r="D7" s="9" t="s">
        <v>124</v>
      </c>
      <c r="E7" s="9" t="s">
        <v>125</v>
      </c>
      <c r="F7" s="12" t="s">
        <v>126</v>
      </c>
      <c r="G7" s="14" t="s">
        <v>132</v>
      </c>
    </row>
    <row r="8" spans="1:7" ht="30" customHeight="1" x14ac:dyDescent="0.35">
      <c r="A8" s="15" t="s">
        <v>127</v>
      </c>
      <c r="B8" s="10" t="s">
        <v>128</v>
      </c>
      <c r="C8" s="10" t="s">
        <v>129</v>
      </c>
      <c r="D8" s="10" t="s">
        <v>130</v>
      </c>
      <c r="E8" s="10" t="s">
        <v>131</v>
      </c>
      <c r="F8" s="13" t="s">
        <v>126</v>
      </c>
      <c r="G8" s="15" t="s">
        <v>132</v>
      </c>
    </row>
    <row r="9" spans="1:7" ht="30" customHeight="1" x14ac:dyDescent="0.35">
      <c r="A9" s="14" t="s">
        <v>133</v>
      </c>
      <c r="B9" s="9" t="s">
        <v>134</v>
      </c>
      <c r="C9" s="9" t="s">
        <v>135</v>
      </c>
      <c r="D9" s="9" t="s">
        <v>130</v>
      </c>
      <c r="E9" s="9" t="s">
        <v>136</v>
      </c>
      <c r="F9" s="12" t="s">
        <v>126</v>
      </c>
      <c r="G9" s="14" t="s">
        <v>132</v>
      </c>
    </row>
    <row r="10" spans="1:7" ht="30" customHeight="1" x14ac:dyDescent="0.35">
      <c r="A10" s="15" t="s">
        <v>137</v>
      </c>
      <c r="B10" s="10" t="s">
        <v>138</v>
      </c>
      <c r="C10" s="10" t="s">
        <v>139</v>
      </c>
      <c r="D10" s="10" t="s">
        <v>130</v>
      </c>
      <c r="E10" s="10" t="s">
        <v>140</v>
      </c>
      <c r="F10" s="13" t="s">
        <v>126</v>
      </c>
      <c r="G10" s="15" t="s">
        <v>132</v>
      </c>
    </row>
    <row r="11" spans="1:7" ht="30" customHeight="1" x14ac:dyDescent="0.35">
      <c r="A11" s="14" t="s">
        <v>141</v>
      </c>
      <c r="B11" s="9" t="s">
        <v>142</v>
      </c>
      <c r="C11" s="9" t="s">
        <v>143</v>
      </c>
      <c r="D11" s="9" t="s">
        <v>144</v>
      </c>
      <c r="E11" s="9" t="s">
        <v>145</v>
      </c>
      <c r="F11" s="12" t="s">
        <v>126</v>
      </c>
      <c r="G11" s="14" t="s">
        <v>132</v>
      </c>
    </row>
    <row r="12" spans="1:7" ht="30" customHeight="1" x14ac:dyDescent="0.35">
      <c r="A12" s="15" t="s">
        <v>146</v>
      </c>
      <c r="B12" s="10" t="s">
        <v>147</v>
      </c>
      <c r="C12" s="10" t="s">
        <v>148</v>
      </c>
      <c r="D12" s="10" t="s">
        <v>130</v>
      </c>
      <c r="E12" s="10" t="s">
        <v>149</v>
      </c>
      <c r="F12" s="13" t="s">
        <v>126</v>
      </c>
      <c r="G12" s="15" t="s">
        <v>132</v>
      </c>
    </row>
    <row r="13" spans="1:7" ht="30" customHeight="1" x14ac:dyDescent="0.35">
      <c r="A13" s="14" t="s">
        <v>150</v>
      </c>
      <c r="B13" s="9" t="s">
        <v>151</v>
      </c>
      <c r="C13" s="9" t="s">
        <v>152</v>
      </c>
      <c r="D13" s="9" t="s">
        <v>153</v>
      </c>
      <c r="E13" s="9" t="s">
        <v>154</v>
      </c>
      <c r="F13" s="12" t="s">
        <v>126</v>
      </c>
      <c r="G13" s="14" t="s">
        <v>132</v>
      </c>
    </row>
    <row r="14" spans="1:7" ht="30" customHeight="1" x14ac:dyDescent="0.35">
      <c r="A14" s="15" t="s">
        <v>155</v>
      </c>
      <c r="B14" s="10" t="s">
        <v>156</v>
      </c>
      <c r="C14" s="10" t="s">
        <v>157</v>
      </c>
      <c r="D14" s="10" t="s">
        <v>158</v>
      </c>
      <c r="E14" s="10" t="s">
        <v>159</v>
      </c>
      <c r="F14" s="13" t="s">
        <v>126</v>
      </c>
      <c r="G14" s="15" t="s">
        <v>132</v>
      </c>
    </row>
    <row r="15" spans="1:7" ht="30" customHeight="1" x14ac:dyDescent="0.35">
      <c r="A15" s="14" t="s">
        <v>160</v>
      </c>
      <c r="B15" s="9" t="s">
        <v>161</v>
      </c>
      <c r="C15" s="9" t="s">
        <v>162</v>
      </c>
      <c r="D15" s="9" t="s">
        <v>130</v>
      </c>
      <c r="E15" s="9" t="s">
        <v>163</v>
      </c>
      <c r="F15" s="12" t="s">
        <v>126</v>
      </c>
      <c r="G15" s="14" t="s">
        <v>132</v>
      </c>
    </row>
    <row r="17" spans="1:7" ht="24" customHeight="1" x14ac:dyDescent="0.35">
      <c r="A17" s="77" t="s">
        <v>164</v>
      </c>
      <c r="B17" s="70"/>
      <c r="C17" s="70"/>
      <c r="D17" s="70"/>
      <c r="E17" s="70"/>
      <c r="F17" s="71"/>
      <c r="G17" s="30" t="str">
        <f>IF(COUNTIF(G7:G15,"NO CUMPLE")&gt;0, "NO CUMPLE (DESCARTADO)", "CUMPLE 100%")</f>
        <v>CUMPLE 100%</v>
      </c>
    </row>
  </sheetData>
  <mergeCells count="4">
    <mergeCell ref="C2:G2"/>
    <mergeCell ref="A17:F17"/>
    <mergeCell ref="C1:G1"/>
    <mergeCell ref="C4:E4"/>
  </mergeCells>
  <dataValidations count="2">
    <dataValidation type="list" sqref="G7:G15" xr:uid="{00000000-0002-0000-0100-000000000000}">
      <formula1>"CUMPLE,NO CUMPLE"</formula1>
    </dataValidation>
    <dataValidation type="list" sqref="C4:C5" xr:uid="{00000000-0002-0000-0100-000001000000}">
      <formula1>_xlfn._LONGTEXT("Dr. Julio Herrera,Enf. Dayana Solipaz,Enf. Maria Isabel Borja,Dr. Jhair Martinez,Dr. Pedro Herrera,Dra. Janna Arboleda,Mara Salcedo,Melisa Aldana,Angélica Monterroza,Sara Chavez,Tatiana Guerra,Edgardo Navarro,Luis Carlos Ricardo,Luis Sampayo,Nubia Solorza","no,Maria Alejandra Martinez")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showGridLines="0" workbookViewId="0">
      <selection activeCell="H16" sqref="H16"/>
    </sheetView>
  </sheetViews>
  <sheetFormatPr baseColWidth="10" defaultColWidth="8.7265625" defaultRowHeight="14.5" x14ac:dyDescent="0.35"/>
  <cols>
    <col min="1" max="1" width="25" style="2" customWidth="1"/>
    <col min="2" max="2" width="13.26953125" style="2" customWidth="1"/>
    <col min="3" max="3" width="11" style="2" customWidth="1"/>
    <col min="4" max="4" width="45" style="2" customWidth="1"/>
    <col min="5" max="5" width="25" style="2" customWidth="1"/>
    <col min="6" max="6" width="14" style="2" customWidth="1"/>
    <col min="7" max="8" width="30" style="2" customWidth="1"/>
    <col min="9" max="11" width="8.7265625" style="2" customWidth="1"/>
    <col min="12" max="16384" width="8.7265625" style="2"/>
  </cols>
  <sheetData>
    <row r="1" spans="1:8" ht="36" customHeight="1" x14ac:dyDescent="0.35">
      <c r="C1" s="55" t="s">
        <v>165</v>
      </c>
      <c r="D1" s="54"/>
      <c r="E1" s="54"/>
      <c r="F1" s="54"/>
      <c r="G1" s="54"/>
      <c r="H1" s="54"/>
    </row>
    <row r="2" spans="1:8" ht="24" customHeight="1" x14ac:dyDescent="0.35">
      <c r="C2" s="53" t="s">
        <v>166</v>
      </c>
      <c r="D2" s="54"/>
      <c r="E2" s="54"/>
      <c r="F2" s="54"/>
      <c r="G2" s="54"/>
      <c r="H2" s="54"/>
    </row>
    <row r="4" spans="1:8" ht="25" customHeight="1" x14ac:dyDescent="0.35">
      <c r="A4" s="1" t="s">
        <v>167</v>
      </c>
      <c r="B4" s="1" t="s">
        <v>168</v>
      </c>
      <c r="C4" s="1" t="s">
        <v>169</v>
      </c>
      <c r="D4" s="1" t="s">
        <v>170</v>
      </c>
      <c r="E4" s="1" t="s">
        <v>171</v>
      </c>
      <c r="F4" s="1" t="s">
        <v>172</v>
      </c>
      <c r="G4" s="1" t="s">
        <v>173</v>
      </c>
      <c r="H4" s="1" t="s">
        <v>174</v>
      </c>
    </row>
    <row r="5" spans="1:8" ht="45.5" customHeight="1" x14ac:dyDescent="0.35">
      <c r="A5" s="9" t="s">
        <v>175</v>
      </c>
      <c r="B5" s="4" t="s">
        <v>76</v>
      </c>
      <c r="C5" s="4">
        <v>15</v>
      </c>
      <c r="D5" s="9" t="s">
        <v>176</v>
      </c>
      <c r="E5" s="9" t="s">
        <v>177</v>
      </c>
      <c r="F5" s="4">
        <v>7</v>
      </c>
      <c r="G5" s="9" t="s">
        <v>178</v>
      </c>
      <c r="H5" s="9" t="s">
        <v>179</v>
      </c>
    </row>
    <row r="6" spans="1:8" ht="45.5" customHeight="1" x14ac:dyDescent="0.35">
      <c r="A6" s="10" t="s">
        <v>175</v>
      </c>
      <c r="B6" s="6" t="s">
        <v>76</v>
      </c>
      <c r="C6" s="6">
        <v>15</v>
      </c>
      <c r="D6" s="10" t="s">
        <v>180</v>
      </c>
      <c r="E6" s="10" t="s">
        <v>181</v>
      </c>
      <c r="F6" s="6">
        <v>8</v>
      </c>
      <c r="G6" s="10" t="s">
        <v>182</v>
      </c>
      <c r="H6" s="10" t="s">
        <v>183</v>
      </c>
    </row>
    <row r="7" spans="1:8" ht="45.5" customHeight="1" x14ac:dyDescent="0.35">
      <c r="A7" s="9" t="s">
        <v>184</v>
      </c>
      <c r="B7" s="4" t="s">
        <v>185</v>
      </c>
      <c r="C7" s="4">
        <v>6</v>
      </c>
      <c r="D7" s="9" t="s">
        <v>186</v>
      </c>
      <c r="E7" s="9" t="s">
        <v>187</v>
      </c>
      <c r="F7" s="4">
        <v>4</v>
      </c>
      <c r="G7" s="9" t="s">
        <v>188</v>
      </c>
      <c r="H7" s="9" t="s">
        <v>189</v>
      </c>
    </row>
    <row r="8" spans="1:8" ht="45.5" customHeight="1" x14ac:dyDescent="0.35">
      <c r="A8" s="10" t="s">
        <v>184</v>
      </c>
      <c r="B8" s="6" t="s">
        <v>185</v>
      </c>
      <c r="C8" s="6">
        <v>6</v>
      </c>
      <c r="D8" s="10" t="s">
        <v>190</v>
      </c>
      <c r="E8" s="10" t="s">
        <v>191</v>
      </c>
      <c r="F8" s="6">
        <v>2</v>
      </c>
      <c r="G8" s="10" t="s">
        <v>192</v>
      </c>
      <c r="H8" s="10" t="s">
        <v>193</v>
      </c>
    </row>
    <row r="9" spans="1:8" ht="45.5" customHeight="1" x14ac:dyDescent="0.35">
      <c r="A9" s="9" t="s">
        <v>194</v>
      </c>
      <c r="B9" s="4" t="s">
        <v>195</v>
      </c>
      <c r="C9" s="4">
        <v>7</v>
      </c>
      <c r="D9" s="9" t="s">
        <v>196</v>
      </c>
      <c r="E9" s="9" t="s">
        <v>197</v>
      </c>
      <c r="F9" s="4">
        <v>7</v>
      </c>
      <c r="G9" s="9" t="s">
        <v>198</v>
      </c>
      <c r="H9" s="9" t="s">
        <v>199</v>
      </c>
    </row>
    <row r="10" spans="1:8" ht="45.5" customHeight="1" x14ac:dyDescent="0.35">
      <c r="A10" s="10" t="s">
        <v>200</v>
      </c>
      <c r="B10" s="6" t="s">
        <v>201</v>
      </c>
      <c r="C10" s="6">
        <v>5.5</v>
      </c>
      <c r="D10" s="10" t="s">
        <v>202</v>
      </c>
      <c r="E10" s="10" t="s">
        <v>203</v>
      </c>
      <c r="F10" s="6">
        <v>3</v>
      </c>
      <c r="G10" s="10" t="s">
        <v>204</v>
      </c>
      <c r="H10" s="10" t="s">
        <v>205</v>
      </c>
    </row>
    <row r="11" spans="1:8" ht="45.5" customHeight="1" x14ac:dyDescent="0.35">
      <c r="A11" s="9" t="s">
        <v>200</v>
      </c>
      <c r="B11" s="4" t="s">
        <v>201</v>
      </c>
      <c r="C11" s="4">
        <v>5.5</v>
      </c>
      <c r="D11" s="9" t="s">
        <v>206</v>
      </c>
      <c r="E11" s="9" t="s">
        <v>207</v>
      </c>
      <c r="F11" s="4">
        <v>2.5</v>
      </c>
      <c r="G11" s="9" t="s">
        <v>208</v>
      </c>
      <c r="H11" s="9" t="s">
        <v>209</v>
      </c>
    </row>
    <row r="12" spans="1:8" ht="45.5" customHeight="1" x14ac:dyDescent="0.35">
      <c r="A12" s="10" t="s">
        <v>210</v>
      </c>
      <c r="B12" s="6" t="s">
        <v>211</v>
      </c>
      <c r="C12" s="6">
        <v>4.5</v>
      </c>
      <c r="D12" s="10" t="s">
        <v>212</v>
      </c>
      <c r="E12" s="10" t="s">
        <v>213</v>
      </c>
      <c r="F12" s="6">
        <v>4.5</v>
      </c>
      <c r="G12" s="10" t="s">
        <v>214</v>
      </c>
      <c r="H12" s="10" t="s">
        <v>215</v>
      </c>
    </row>
    <row r="13" spans="1:8" ht="45.5" customHeight="1" x14ac:dyDescent="0.35">
      <c r="A13" s="9" t="s">
        <v>210</v>
      </c>
      <c r="B13" s="4" t="s">
        <v>211</v>
      </c>
      <c r="C13" s="4">
        <v>4.5</v>
      </c>
      <c r="D13" s="9" t="s">
        <v>216</v>
      </c>
      <c r="E13" s="9" t="s">
        <v>217</v>
      </c>
      <c r="F13" s="4">
        <v>3</v>
      </c>
      <c r="G13" s="9" t="s">
        <v>218</v>
      </c>
      <c r="H13" s="9" t="s">
        <v>219</v>
      </c>
    </row>
    <row r="14" spans="1:8" ht="45.5" customHeight="1" x14ac:dyDescent="0.35">
      <c r="A14" s="10" t="s">
        <v>220</v>
      </c>
      <c r="B14" s="6" t="s">
        <v>221</v>
      </c>
      <c r="C14" s="6">
        <v>5</v>
      </c>
      <c r="D14" s="10" t="s">
        <v>222</v>
      </c>
      <c r="E14" s="10" t="s">
        <v>223</v>
      </c>
      <c r="F14" s="6">
        <v>5</v>
      </c>
      <c r="G14" s="10" t="s">
        <v>224</v>
      </c>
      <c r="H14" s="10" t="s">
        <v>225</v>
      </c>
    </row>
    <row r="15" spans="1:8" ht="45.5" customHeight="1" x14ac:dyDescent="0.35">
      <c r="A15" s="9" t="s">
        <v>226</v>
      </c>
      <c r="B15" s="4" t="s">
        <v>227</v>
      </c>
      <c r="C15" s="4">
        <v>2</v>
      </c>
      <c r="D15" s="9" t="s">
        <v>228</v>
      </c>
      <c r="E15" s="9" t="s">
        <v>229</v>
      </c>
      <c r="F15" s="4">
        <v>2</v>
      </c>
      <c r="G15" s="9" t="s">
        <v>230</v>
      </c>
      <c r="H15" s="9" t="s">
        <v>231</v>
      </c>
    </row>
    <row r="16" spans="1:8" ht="45.5" customHeight="1" x14ac:dyDescent="0.35">
      <c r="A16" s="10" t="s">
        <v>232</v>
      </c>
      <c r="B16" s="6" t="s">
        <v>221</v>
      </c>
      <c r="C16" s="6">
        <v>5</v>
      </c>
      <c r="D16" s="10" t="s">
        <v>233</v>
      </c>
      <c r="E16" s="10" t="s">
        <v>234</v>
      </c>
      <c r="F16" s="6">
        <v>5</v>
      </c>
      <c r="G16" s="10" t="s">
        <v>235</v>
      </c>
      <c r="H16" s="10" t="s">
        <v>236</v>
      </c>
    </row>
    <row r="17" spans="1:8" ht="45.5" customHeight="1" x14ac:dyDescent="0.35">
      <c r="A17" s="7" t="s">
        <v>237</v>
      </c>
      <c r="B17" s="8" t="s">
        <v>81</v>
      </c>
      <c r="C17" s="8">
        <v>50</v>
      </c>
      <c r="D17" s="11" t="s">
        <v>238</v>
      </c>
      <c r="E17" s="11" t="s">
        <v>239</v>
      </c>
      <c r="F17" s="8">
        <v>50</v>
      </c>
      <c r="G17" s="11" t="s">
        <v>240</v>
      </c>
      <c r="H17" s="11" t="s">
        <v>241</v>
      </c>
    </row>
  </sheetData>
  <mergeCells count="2">
    <mergeCell ref="C2:H2"/>
    <mergeCell ref="C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"/>
  <sheetViews>
    <sheetView showGridLines="0" workbookViewId="0">
      <selection activeCell="K17" sqref="K17"/>
    </sheetView>
  </sheetViews>
  <sheetFormatPr baseColWidth="10" defaultColWidth="20" defaultRowHeight="14.5" x14ac:dyDescent="0.35"/>
  <cols>
    <col min="1" max="1" width="27.1796875" style="2" bestFit="1" customWidth="1"/>
    <col min="2" max="2" width="26.453125" style="2" customWidth="1"/>
    <col min="3" max="3" width="42.7265625" style="2" bestFit="1" customWidth="1"/>
    <col min="4" max="4" width="46.36328125" style="2" customWidth="1"/>
    <col min="5" max="5" width="25" style="2" customWidth="1"/>
    <col min="6" max="6" width="35" style="2" customWidth="1"/>
    <col min="7" max="7" width="18" style="2" customWidth="1"/>
    <col min="8" max="8" width="18.81640625" style="2" bestFit="1" customWidth="1"/>
    <col min="9" max="10" width="20" style="2" customWidth="1"/>
    <col min="11" max="11" width="24" style="32" customWidth="1"/>
    <col min="12" max="12" width="10" style="32" customWidth="1"/>
    <col min="13" max="13" width="18" style="32" customWidth="1"/>
    <col min="14" max="14" width="20" style="2" customWidth="1"/>
    <col min="15" max="16384" width="20" style="2"/>
  </cols>
  <sheetData>
    <row r="1" spans="1:13" ht="36" customHeight="1" x14ac:dyDescent="0.35">
      <c r="C1" s="55" t="s">
        <v>242</v>
      </c>
      <c r="D1" s="54"/>
      <c r="E1" s="54"/>
      <c r="F1" s="54"/>
      <c r="G1" s="54"/>
    </row>
    <row r="2" spans="1:13" ht="24" customHeight="1" x14ac:dyDescent="0.35">
      <c r="C2" s="53" t="s">
        <v>243</v>
      </c>
      <c r="D2" s="54"/>
      <c r="E2" s="54"/>
      <c r="F2" s="54"/>
      <c r="G2" s="54"/>
    </row>
    <row r="4" spans="1:13" ht="21.5" customHeight="1" x14ac:dyDescent="0.35">
      <c r="A4" s="81" t="s">
        <v>244</v>
      </c>
      <c r="B4" s="73"/>
      <c r="C4" s="73"/>
    </row>
    <row r="5" spans="1:13" ht="25" customHeight="1" x14ac:dyDescent="0.35">
      <c r="A5" s="1" t="s">
        <v>245</v>
      </c>
      <c r="B5" s="1" t="s">
        <v>246</v>
      </c>
      <c r="C5" s="1" t="s">
        <v>61</v>
      </c>
      <c r="D5" s="1" t="s">
        <v>247</v>
      </c>
      <c r="E5" s="1" t="s">
        <v>248</v>
      </c>
      <c r="F5" s="1" t="s">
        <v>249</v>
      </c>
      <c r="G5" s="31" t="s">
        <v>250</v>
      </c>
      <c r="H5" s="31" t="s">
        <v>251</v>
      </c>
      <c r="I5" s="31" t="s">
        <v>252</v>
      </c>
      <c r="K5" s="84" t="s">
        <v>253</v>
      </c>
      <c r="L5" s="61"/>
      <c r="M5" s="61"/>
    </row>
    <row r="6" spans="1:13" ht="39" customHeight="1" x14ac:dyDescent="0.35">
      <c r="A6" s="33" t="s">
        <v>254</v>
      </c>
      <c r="B6" s="4" t="s">
        <v>255</v>
      </c>
      <c r="C6" s="4">
        <v>12</v>
      </c>
      <c r="D6" s="33" t="s">
        <v>256</v>
      </c>
      <c r="E6" s="3" t="s">
        <v>257</v>
      </c>
      <c r="F6" s="4" t="s">
        <v>258</v>
      </c>
      <c r="G6" s="41">
        <v>75</v>
      </c>
      <c r="H6" s="34">
        <f>IF(G6="","",ROUND((G6/100)*C6,2))</f>
        <v>9</v>
      </c>
      <c r="I6" s="34" t="str">
        <f>IF(G6="","",IF(G6&gt;=65,"IDÓNEO (ALTA RESISTENCIA)","VULNERABLE (BAJO)"))</f>
        <v>IDÓNEO (ALTA RESISTENCIA)</v>
      </c>
      <c r="K6" s="82" t="s">
        <v>259</v>
      </c>
      <c r="L6" s="71"/>
      <c r="M6" s="35" t="s">
        <v>12</v>
      </c>
    </row>
    <row r="7" spans="1:13" ht="39" customHeight="1" x14ac:dyDescent="0.35">
      <c r="A7" s="33" t="s">
        <v>260</v>
      </c>
      <c r="B7" s="4" t="s">
        <v>261</v>
      </c>
      <c r="C7" s="4">
        <v>8</v>
      </c>
      <c r="D7" s="33" t="s">
        <v>262</v>
      </c>
      <c r="E7" s="3" t="s">
        <v>263</v>
      </c>
      <c r="F7" s="4" t="s">
        <v>264</v>
      </c>
      <c r="G7" s="41">
        <v>25</v>
      </c>
      <c r="H7" s="34">
        <f>IF(G7="","",ROUND((1-(G7/100))*C7,2))</f>
        <v>6</v>
      </c>
      <c r="I7" s="34" t="str">
        <f>IF(G7="","",IF(G7&lt;=40,"IDÓNEO (BAJA DISFUNCIÓN)","ALTO RIESGO DISFUNCIONAL"))</f>
        <v>IDÓNEO (BAJA DISFUNCIÓN)</v>
      </c>
      <c r="K7" s="83" t="s">
        <v>265</v>
      </c>
      <c r="L7" s="71"/>
      <c r="M7" s="34">
        <f>H8</f>
        <v>15</v>
      </c>
    </row>
    <row r="8" spans="1:13" ht="65" customHeight="1" x14ac:dyDescent="0.35">
      <c r="A8" s="36" t="s">
        <v>266</v>
      </c>
      <c r="B8" s="8" t="s">
        <v>81</v>
      </c>
      <c r="C8" s="8">
        <v>20</v>
      </c>
      <c r="D8" s="36" t="s">
        <v>267</v>
      </c>
      <c r="E8" s="7" t="s">
        <v>268</v>
      </c>
      <c r="F8" s="8" t="s">
        <v>269</v>
      </c>
      <c r="G8" s="37" t="s">
        <v>270</v>
      </c>
      <c r="H8" s="37">
        <f>IF(COUNT(H6:H7)=0,"",ROUND(H6+H7,2))</f>
        <v>15</v>
      </c>
      <c r="I8" s="37" t="str">
        <f>IF(H8="","",IF(H8&gt;=14,"APTO PSICOTÉCNICO","CONDICIONADO"))</f>
        <v>APTO PSICOTÉCNICO</v>
      </c>
      <c r="K8" s="82" t="s">
        <v>271</v>
      </c>
      <c r="L8" s="71"/>
      <c r="M8" s="35">
        <f>I21</f>
        <v>25.67</v>
      </c>
    </row>
    <row r="9" spans="1:13" ht="27.5" customHeight="1" x14ac:dyDescent="0.35">
      <c r="K9" s="80" t="s">
        <v>272</v>
      </c>
      <c r="L9" s="71"/>
      <c r="M9" s="37">
        <f>H8+I21</f>
        <v>40.67</v>
      </c>
    </row>
    <row r="10" spans="1:13" ht="29" customHeight="1" x14ac:dyDescent="0.35">
      <c r="A10" s="81" t="s">
        <v>273</v>
      </c>
      <c r="B10" s="73"/>
      <c r="C10" s="73"/>
      <c r="D10" s="73"/>
      <c r="K10" s="80" t="s">
        <v>274</v>
      </c>
      <c r="L10" s="71"/>
      <c r="M10" s="37" t="str">
        <f>IF(M9="","",IF(M9&gt;=42,"SOBRESALIENTE",IF(M9&gt;=35,"IDÓNEO CONDICIONADO","NO IDÓNEO")))</f>
        <v>IDÓNEO CONDICIONADO</v>
      </c>
    </row>
    <row r="11" spans="1:13" ht="22" customHeight="1" x14ac:dyDescent="0.35">
      <c r="A11" s="1" t="s">
        <v>2</v>
      </c>
      <c r="B11" s="1" t="s">
        <v>275</v>
      </c>
      <c r="C11" s="1" t="s">
        <v>276</v>
      </c>
      <c r="D11" s="1" t="s">
        <v>277</v>
      </c>
      <c r="E11" s="1" t="s">
        <v>278</v>
      </c>
      <c r="F11" s="1" t="s">
        <v>279</v>
      </c>
      <c r="G11" s="1" t="s">
        <v>280</v>
      </c>
      <c r="H11" s="31" t="s">
        <v>281</v>
      </c>
      <c r="I11" s="31" t="s">
        <v>282</v>
      </c>
    </row>
    <row r="12" spans="1:13" ht="39" customHeight="1" x14ac:dyDescent="0.35">
      <c r="A12" s="14">
        <v>1</v>
      </c>
      <c r="B12" s="38" t="s">
        <v>283</v>
      </c>
      <c r="C12" s="33" t="s">
        <v>284</v>
      </c>
      <c r="D12" s="33" t="s">
        <v>285</v>
      </c>
      <c r="E12" s="33" t="s">
        <v>286</v>
      </c>
      <c r="F12" s="33" t="s">
        <v>287</v>
      </c>
      <c r="G12" s="14">
        <v>3.33</v>
      </c>
      <c r="H12" s="41">
        <v>9</v>
      </c>
      <c r="I12" s="34">
        <f t="shared" ref="I12:I20" si="0">IF(H12="","",ROUND((H12/10)*G12,2))</f>
        <v>3</v>
      </c>
    </row>
    <row r="13" spans="1:13" ht="39" customHeight="1" x14ac:dyDescent="0.35">
      <c r="A13" s="15">
        <v>2</v>
      </c>
      <c r="B13" s="39" t="s">
        <v>288</v>
      </c>
      <c r="C13" s="40" t="s">
        <v>289</v>
      </c>
      <c r="D13" s="40" t="s">
        <v>290</v>
      </c>
      <c r="E13" s="40" t="s">
        <v>291</v>
      </c>
      <c r="F13" s="40" t="s">
        <v>292</v>
      </c>
      <c r="G13" s="15">
        <v>3.33</v>
      </c>
      <c r="H13" s="41">
        <v>8.5</v>
      </c>
      <c r="I13" s="34">
        <f t="shared" si="0"/>
        <v>2.83</v>
      </c>
    </row>
    <row r="14" spans="1:13" ht="39" customHeight="1" x14ac:dyDescent="0.35">
      <c r="A14" s="14">
        <v>3</v>
      </c>
      <c r="B14" s="38" t="s">
        <v>293</v>
      </c>
      <c r="C14" s="33" t="s">
        <v>294</v>
      </c>
      <c r="D14" s="33" t="s">
        <v>295</v>
      </c>
      <c r="E14" s="33" t="s">
        <v>296</v>
      </c>
      <c r="F14" s="33" t="s">
        <v>297</v>
      </c>
      <c r="G14" s="14">
        <v>3.33</v>
      </c>
      <c r="H14" s="41">
        <v>8</v>
      </c>
      <c r="I14" s="34">
        <f t="shared" si="0"/>
        <v>2.66</v>
      </c>
    </row>
    <row r="15" spans="1:13" ht="39" customHeight="1" x14ac:dyDescent="0.35">
      <c r="A15" s="15">
        <v>4</v>
      </c>
      <c r="B15" s="39" t="s">
        <v>298</v>
      </c>
      <c r="C15" s="40" t="s">
        <v>299</v>
      </c>
      <c r="D15" s="40" t="s">
        <v>300</v>
      </c>
      <c r="E15" s="40" t="s">
        <v>301</v>
      </c>
      <c r="F15" s="40" t="s">
        <v>302</v>
      </c>
      <c r="G15" s="15">
        <v>3.33</v>
      </c>
      <c r="H15" s="41">
        <v>9</v>
      </c>
      <c r="I15" s="34">
        <f t="shared" si="0"/>
        <v>3</v>
      </c>
    </row>
    <row r="16" spans="1:13" ht="39" customHeight="1" x14ac:dyDescent="0.35">
      <c r="A16" s="14">
        <v>5</v>
      </c>
      <c r="B16" s="38" t="s">
        <v>303</v>
      </c>
      <c r="C16" s="33" t="s">
        <v>304</v>
      </c>
      <c r="D16" s="33" t="s">
        <v>305</v>
      </c>
      <c r="E16" s="33" t="s">
        <v>306</v>
      </c>
      <c r="F16" s="33" t="s">
        <v>307</v>
      </c>
      <c r="G16" s="14">
        <v>3.33</v>
      </c>
      <c r="H16" s="41">
        <v>8.5</v>
      </c>
      <c r="I16" s="34">
        <f t="shared" si="0"/>
        <v>2.83</v>
      </c>
    </row>
    <row r="17" spans="1:9" ht="39" customHeight="1" x14ac:dyDescent="0.35">
      <c r="A17" s="15">
        <v>6</v>
      </c>
      <c r="B17" s="39" t="s">
        <v>308</v>
      </c>
      <c r="C17" s="40" t="s">
        <v>309</v>
      </c>
      <c r="D17" s="40" t="s">
        <v>310</v>
      </c>
      <c r="E17" s="40" t="s">
        <v>311</v>
      </c>
      <c r="F17" s="40" t="s">
        <v>312</v>
      </c>
      <c r="G17" s="15">
        <v>3.34</v>
      </c>
      <c r="H17" s="41">
        <v>8</v>
      </c>
      <c r="I17" s="34">
        <f t="shared" si="0"/>
        <v>2.67</v>
      </c>
    </row>
    <row r="18" spans="1:9" ht="39" customHeight="1" x14ac:dyDescent="0.35">
      <c r="A18" s="14">
        <v>7</v>
      </c>
      <c r="B18" s="38" t="s">
        <v>313</v>
      </c>
      <c r="C18" s="33" t="s">
        <v>314</v>
      </c>
      <c r="D18" s="33" t="s">
        <v>315</v>
      </c>
      <c r="E18" s="33" t="s">
        <v>316</v>
      </c>
      <c r="F18" s="33" t="s">
        <v>317</v>
      </c>
      <c r="G18" s="14">
        <v>3.34</v>
      </c>
      <c r="H18" s="41">
        <v>8.5</v>
      </c>
      <c r="I18" s="34">
        <f t="shared" si="0"/>
        <v>2.84</v>
      </c>
    </row>
    <row r="19" spans="1:9" ht="39" customHeight="1" x14ac:dyDescent="0.35">
      <c r="A19" s="15">
        <v>8</v>
      </c>
      <c r="B19" s="39" t="s">
        <v>318</v>
      </c>
      <c r="C19" s="40" t="s">
        <v>319</v>
      </c>
      <c r="D19" s="40" t="s">
        <v>320</v>
      </c>
      <c r="E19" s="40" t="s">
        <v>321</v>
      </c>
      <c r="F19" s="40" t="s">
        <v>322</v>
      </c>
      <c r="G19" s="15">
        <v>3.33</v>
      </c>
      <c r="H19" s="41">
        <v>9</v>
      </c>
      <c r="I19" s="34">
        <f t="shared" si="0"/>
        <v>3</v>
      </c>
    </row>
    <row r="20" spans="1:9" ht="39" customHeight="1" x14ac:dyDescent="0.35">
      <c r="A20" s="14">
        <v>9</v>
      </c>
      <c r="B20" s="38" t="s">
        <v>323</v>
      </c>
      <c r="C20" s="33" t="s">
        <v>324</v>
      </c>
      <c r="D20" s="33" t="s">
        <v>325</v>
      </c>
      <c r="E20" s="33" t="s">
        <v>326</v>
      </c>
      <c r="F20" s="33" t="s">
        <v>327</v>
      </c>
      <c r="G20" s="14">
        <v>3.34</v>
      </c>
      <c r="H20" s="41">
        <v>8.5</v>
      </c>
      <c r="I20" s="34">
        <f t="shared" si="0"/>
        <v>2.84</v>
      </c>
    </row>
    <row r="21" spans="1:9" ht="39" customHeight="1" x14ac:dyDescent="0.35">
      <c r="A21" s="79" t="s">
        <v>328</v>
      </c>
      <c r="B21" s="70"/>
      <c r="C21" s="70"/>
      <c r="D21" s="70"/>
      <c r="E21" s="70"/>
      <c r="F21" s="71"/>
      <c r="G21" s="8">
        <v>30</v>
      </c>
      <c r="H21" s="37">
        <f>IF(COUNT(H12:H20)=0,"",ROUND(AVERAGE(H12:H20),2))</f>
        <v>8.56</v>
      </c>
      <c r="I21" s="37">
        <f>IF(COUNT(H12:H20)=0,"",ROUND(SUM(I12:I20),2))</f>
        <v>25.67</v>
      </c>
    </row>
  </sheetData>
  <mergeCells count="11">
    <mergeCell ref="C1:G1"/>
    <mergeCell ref="A4:C4"/>
    <mergeCell ref="K7:L7"/>
    <mergeCell ref="K8:L8"/>
    <mergeCell ref="C2:G2"/>
    <mergeCell ref="K5:M5"/>
    <mergeCell ref="A21:F21"/>
    <mergeCell ref="K10:L10"/>
    <mergeCell ref="K9:L9"/>
    <mergeCell ref="A10:D10"/>
    <mergeCell ref="K6:L6"/>
  </mergeCells>
  <conditionalFormatting sqref="M10">
    <cfRule type="expression" dxfId="5" priority="1">
      <formula>ISNUMBER(SEARCH("SOBRESALIENTE",M10))</formula>
    </cfRule>
    <cfRule type="expression" dxfId="4" priority="2">
      <formula>ISNUMBER(SEARCH("CONDICIONADO",M10))</formula>
    </cfRule>
    <cfRule type="expression" dxfId="3" priority="3">
      <formula>ISNUMBER(SEARCH("NO IDÓNEO",M10))</formula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zoomScale="120" zoomScaleNormal="120" workbookViewId="0">
      <selection activeCell="G12" sqref="G12"/>
    </sheetView>
  </sheetViews>
  <sheetFormatPr baseColWidth="10" defaultColWidth="8.7265625" defaultRowHeight="14.5" x14ac:dyDescent="0.35"/>
  <cols>
    <col min="1" max="1" width="28" style="2" customWidth="1"/>
    <col min="2" max="2" width="26" style="2" customWidth="1"/>
    <col min="3" max="3" width="20" style="2" customWidth="1"/>
    <col min="4" max="4" width="35" style="2" customWidth="1"/>
    <col min="5" max="5" width="25" style="2" customWidth="1"/>
    <col min="6" max="6" width="35" style="2" customWidth="1"/>
    <col min="7" max="7" width="45" style="2" customWidth="1"/>
    <col min="8" max="10" width="8.7265625" style="2" customWidth="1"/>
    <col min="11" max="16384" width="8.7265625" style="2"/>
  </cols>
  <sheetData>
    <row r="1" spans="1:7" ht="36" customHeight="1" x14ac:dyDescent="0.35">
      <c r="C1" s="55" t="s">
        <v>329</v>
      </c>
      <c r="D1" s="54"/>
      <c r="E1" s="54"/>
      <c r="F1" s="54"/>
      <c r="G1" s="54"/>
    </row>
    <row r="2" spans="1:7" ht="24" customHeight="1" x14ac:dyDescent="0.35">
      <c r="C2" s="53" t="s">
        <v>330</v>
      </c>
      <c r="D2" s="54"/>
      <c r="E2" s="54"/>
      <c r="F2" s="54"/>
      <c r="G2" s="54"/>
    </row>
    <row r="4" spans="1:7" ht="25" customHeight="1" x14ac:dyDescent="0.35">
      <c r="A4" s="1" t="s">
        <v>331</v>
      </c>
      <c r="B4" s="1" t="s">
        <v>332</v>
      </c>
      <c r="C4" s="1" t="s">
        <v>333</v>
      </c>
      <c r="D4" s="1" t="s">
        <v>334</v>
      </c>
      <c r="E4" s="1" t="s">
        <v>335</v>
      </c>
      <c r="F4" s="1" t="s">
        <v>336</v>
      </c>
      <c r="G4" s="1" t="s">
        <v>337</v>
      </c>
    </row>
    <row r="5" spans="1:7" ht="39" customHeight="1" x14ac:dyDescent="0.35">
      <c r="A5" s="23" t="s">
        <v>13</v>
      </c>
      <c r="B5" s="23" t="s">
        <v>12</v>
      </c>
      <c r="C5" s="9" t="s">
        <v>338</v>
      </c>
      <c r="D5" s="9" t="s">
        <v>339</v>
      </c>
      <c r="E5" s="9" t="s">
        <v>340</v>
      </c>
      <c r="F5" s="9" t="s">
        <v>341</v>
      </c>
      <c r="G5" s="9" t="s">
        <v>342</v>
      </c>
    </row>
    <row r="6" spans="1:7" ht="39" customHeight="1" x14ac:dyDescent="0.35">
      <c r="A6" s="24" t="s">
        <v>16</v>
      </c>
      <c r="B6" s="24" t="s">
        <v>15</v>
      </c>
      <c r="C6" s="10" t="s">
        <v>343</v>
      </c>
      <c r="D6" s="10" t="s">
        <v>344</v>
      </c>
      <c r="E6" s="10" t="s">
        <v>345</v>
      </c>
      <c r="F6" s="10" t="s">
        <v>346</v>
      </c>
      <c r="G6" s="10" t="s">
        <v>347</v>
      </c>
    </row>
    <row r="7" spans="1:7" ht="39" customHeight="1" x14ac:dyDescent="0.35">
      <c r="A7" s="23" t="s">
        <v>19</v>
      </c>
      <c r="B7" s="23" t="s">
        <v>18</v>
      </c>
      <c r="C7" s="9" t="s">
        <v>338</v>
      </c>
      <c r="D7" s="9" t="s">
        <v>348</v>
      </c>
      <c r="E7" s="9" t="s">
        <v>349</v>
      </c>
      <c r="F7" s="9" t="s">
        <v>350</v>
      </c>
      <c r="G7" s="9" t="s">
        <v>351</v>
      </c>
    </row>
    <row r="8" spans="1:7" ht="39" customHeight="1" x14ac:dyDescent="0.35">
      <c r="A8" s="24" t="s">
        <v>22</v>
      </c>
      <c r="B8" s="24" t="s">
        <v>21</v>
      </c>
      <c r="C8" s="10" t="s">
        <v>352</v>
      </c>
      <c r="D8" s="10" t="s">
        <v>353</v>
      </c>
      <c r="E8" s="10" t="s">
        <v>354</v>
      </c>
      <c r="F8" s="10" t="s">
        <v>355</v>
      </c>
      <c r="G8" s="10" t="s">
        <v>356</v>
      </c>
    </row>
    <row r="9" spans="1:7" ht="39" customHeight="1" x14ac:dyDescent="0.35">
      <c r="A9" s="23" t="s">
        <v>25</v>
      </c>
      <c r="B9" s="23" t="s">
        <v>24</v>
      </c>
      <c r="C9" s="9" t="s">
        <v>352</v>
      </c>
      <c r="D9" s="9" t="s">
        <v>357</v>
      </c>
      <c r="E9" s="9" t="s">
        <v>358</v>
      </c>
      <c r="F9" s="9" t="s">
        <v>359</v>
      </c>
      <c r="G9" s="9" t="s">
        <v>360</v>
      </c>
    </row>
    <row r="10" spans="1:7" ht="39" customHeight="1" x14ac:dyDescent="0.35">
      <c r="A10" s="24" t="s">
        <v>28</v>
      </c>
      <c r="B10" s="24" t="s">
        <v>27</v>
      </c>
      <c r="C10" s="10" t="s">
        <v>361</v>
      </c>
      <c r="D10" s="10" t="s">
        <v>362</v>
      </c>
      <c r="E10" s="10" t="s">
        <v>363</v>
      </c>
      <c r="F10" s="10" t="s">
        <v>364</v>
      </c>
      <c r="G10" s="10" t="s">
        <v>365</v>
      </c>
    </row>
    <row r="11" spans="1:7" ht="39" customHeight="1" x14ac:dyDescent="0.35">
      <c r="A11" s="23" t="s">
        <v>366</v>
      </c>
      <c r="B11" s="23" t="s">
        <v>367</v>
      </c>
      <c r="C11" s="9" t="s">
        <v>368</v>
      </c>
      <c r="D11" s="9" t="s">
        <v>369</v>
      </c>
      <c r="E11" s="9" t="s">
        <v>370</v>
      </c>
      <c r="F11" s="9" t="s">
        <v>371</v>
      </c>
      <c r="G11" s="9" t="s">
        <v>372</v>
      </c>
    </row>
    <row r="12" spans="1:7" ht="52" customHeight="1" x14ac:dyDescent="0.35">
      <c r="A12" s="24" t="s">
        <v>373</v>
      </c>
      <c r="B12" s="24" t="s">
        <v>374</v>
      </c>
      <c r="C12" s="10" t="s">
        <v>368</v>
      </c>
      <c r="D12" s="10" t="s">
        <v>375</v>
      </c>
      <c r="E12" s="10" t="s">
        <v>376</v>
      </c>
      <c r="F12" s="10" t="s">
        <v>377</v>
      </c>
      <c r="G12" s="10" t="s">
        <v>378</v>
      </c>
    </row>
    <row r="13" spans="1:7" ht="39" customHeight="1" x14ac:dyDescent="0.35">
      <c r="A13" s="23" t="s">
        <v>379</v>
      </c>
      <c r="B13" s="23" t="s">
        <v>30</v>
      </c>
      <c r="C13" s="9" t="s">
        <v>368</v>
      </c>
      <c r="D13" s="9" t="s">
        <v>380</v>
      </c>
      <c r="E13" s="9" t="s">
        <v>381</v>
      </c>
      <c r="F13" s="9" t="s">
        <v>382</v>
      </c>
      <c r="G13" s="9" t="s">
        <v>383</v>
      </c>
    </row>
    <row r="14" spans="1:7" ht="52" customHeight="1" x14ac:dyDescent="0.35">
      <c r="A14" s="24" t="s">
        <v>384</v>
      </c>
      <c r="B14" s="24" t="s">
        <v>33</v>
      </c>
      <c r="C14" s="10" t="s">
        <v>385</v>
      </c>
      <c r="D14" s="10" t="s">
        <v>386</v>
      </c>
      <c r="E14" s="10" t="s">
        <v>387</v>
      </c>
      <c r="F14" s="10" t="s">
        <v>388</v>
      </c>
      <c r="G14" s="10" t="s">
        <v>389</v>
      </c>
    </row>
    <row r="15" spans="1:7" ht="39" customHeight="1" x14ac:dyDescent="0.35">
      <c r="A15" s="23" t="s">
        <v>390</v>
      </c>
      <c r="B15" s="23" t="s">
        <v>35</v>
      </c>
      <c r="C15" s="9" t="s">
        <v>391</v>
      </c>
      <c r="D15" s="9" t="s">
        <v>392</v>
      </c>
      <c r="E15" s="9" t="s">
        <v>393</v>
      </c>
      <c r="F15" s="9" t="s">
        <v>394</v>
      </c>
      <c r="G15" s="9" t="s">
        <v>395</v>
      </c>
    </row>
    <row r="16" spans="1:7" ht="39" customHeight="1" x14ac:dyDescent="0.35">
      <c r="A16" s="24" t="s">
        <v>396</v>
      </c>
      <c r="B16" s="24" t="s">
        <v>37</v>
      </c>
      <c r="C16" s="10" t="s">
        <v>385</v>
      </c>
      <c r="D16" s="10" t="s">
        <v>397</v>
      </c>
      <c r="E16" s="10" t="s">
        <v>398</v>
      </c>
      <c r="F16" s="10" t="s">
        <v>399</v>
      </c>
      <c r="G16" s="10" t="s">
        <v>400</v>
      </c>
    </row>
    <row r="17" spans="1:7" ht="39" customHeight="1" x14ac:dyDescent="0.35">
      <c r="A17" s="23" t="s">
        <v>401</v>
      </c>
      <c r="B17" s="23" t="s">
        <v>39</v>
      </c>
      <c r="C17" s="9" t="s">
        <v>391</v>
      </c>
      <c r="D17" s="9" t="s">
        <v>402</v>
      </c>
      <c r="E17" s="9" t="s">
        <v>403</v>
      </c>
      <c r="F17" s="9" t="s">
        <v>404</v>
      </c>
      <c r="G17" s="9" t="s">
        <v>405</v>
      </c>
    </row>
  </sheetData>
  <mergeCells count="2">
    <mergeCell ref="C2:G2"/>
    <mergeCell ref="C1:G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5"/>
  <sheetViews>
    <sheetView showGridLines="0" tabSelected="1" workbookViewId="0">
      <selection activeCell="O26" sqref="O26"/>
    </sheetView>
  </sheetViews>
  <sheetFormatPr baseColWidth="10" defaultColWidth="8.7265625" defaultRowHeight="14.5" x14ac:dyDescent="0.35"/>
  <cols>
    <col min="1" max="1" width="6" style="2" customWidth="1"/>
    <col min="2" max="2" width="35" style="2" customWidth="1"/>
    <col min="3" max="3" width="32" style="2" customWidth="1"/>
    <col min="4" max="4" width="20" style="2" customWidth="1"/>
    <col min="5" max="5" width="22" style="2" customWidth="1"/>
    <col min="6" max="7" width="25" style="2" customWidth="1"/>
    <col min="8" max="8" width="22" style="2" customWidth="1"/>
    <col min="9" max="9" width="30" style="2" customWidth="1"/>
    <col min="10" max="10" width="8.7265625" style="2" customWidth="1"/>
    <col min="11" max="11" width="24" style="32" customWidth="1"/>
    <col min="12" max="12" width="12" style="32" customWidth="1"/>
    <col min="13" max="13" width="16" style="32" customWidth="1"/>
    <col min="14" max="15" width="8.7265625" style="2" customWidth="1"/>
    <col min="16" max="16384" width="8.7265625" style="2"/>
  </cols>
  <sheetData>
    <row r="1" spans="1:13" ht="36" customHeight="1" x14ac:dyDescent="0.35">
      <c r="C1" s="55" t="s">
        <v>0</v>
      </c>
      <c r="D1" s="54"/>
      <c r="E1" s="54"/>
      <c r="F1" s="54"/>
      <c r="G1" s="54"/>
      <c r="H1" s="54"/>
      <c r="I1" s="54"/>
    </row>
    <row r="2" spans="1:13" ht="24" customHeight="1" x14ac:dyDescent="0.35">
      <c r="C2" s="53" t="s">
        <v>1</v>
      </c>
      <c r="D2" s="54"/>
      <c r="E2" s="54"/>
      <c r="F2" s="54"/>
      <c r="G2" s="54"/>
      <c r="H2" s="54"/>
      <c r="I2" s="54"/>
    </row>
    <row r="4" spans="1:13" ht="28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K4" s="60" t="s">
        <v>11</v>
      </c>
      <c r="L4" s="61"/>
      <c r="M4" s="61"/>
    </row>
    <row r="5" spans="1:13" ht="23" customHeight="1" x14ac:dyDescent="0.35">
      <c r="A5" s="12">
        <v>1</v>
      </c>
      <c r="B5" s="12" t="s">
        <v>12</v>
      </c>
      <c r="C5" s="3" t="s">
        <v>13</v>
      </c>
      <c r="D5" s="43" t="str">
        <f>IF(B5="","",IF(B5='2. Filtros Excluyentes SI-NO'!$C$4, '2. Filtros Excluyentes SI-NO'!$G$17, "CUMPLE 100%"))</f>
        <v>CUMPLE 100%</v>
      </c>
      <c r="E5" s="3">
        <v>47</v>
      </c>
      <c r="F5" s="3">
        <v>18.5</v>
      </c>
      <c r="G5" s="3">
        <v>28.5</v>
      </c>
      <c r="H5" s="44">
        <f t="shared" ref="H5:H35" si="0">IF(B5="","",IF(D5&lt;&gt;"CUMPLE 100%",0,ROUND(E5+F5+G5,1)))</f>
        <v>94</v>
      </c>
      <c r="I5" s="44" t="str">
        <f t="shared" ref="I5:I35" si="1">IF(B5="","",IF(D5&lt;&gt;"CUMPLE 100%","NO IDÓNEO (DESCARTADO EN FILTROS HABILITANTES)",IF(H5&gt;=85,"IDÓNEO SOBRESALIENTE",IF(H5&gt;=70,"IDÓNEO CONDICIONADO","NO IDÓNEO"))))</f>
        <v>IDÓNEO SOBRESALIENTE</v>
      </c>
      <c r="K5" s="62" t="s">
        <v>14</v>
      </c>
      <c r="L5" s="57"/>
      <c r="M5" s="45">
        <f>COUNTIF(B5:B35, "?*")</f>
        <v>16</v>
      </c>
    </row>
    <row r="6" spans="1:13" ht="23" customHeight="1" x14ac:dyDescent="0.35">
      <c r="A6" s="13">
        <v>2</v>
      </c>
      <c r="B6" s="13" t="s">
        <v>15</v>
      </c>
      <c r="C6" s="5" t="s">
        <v>16</v>
      </c>
      <c r="D6" s="46" t="str">
        <f>IF(B6="","",IF(B6='2. Filtros Excluyentes SI-NO'!$C$4, '2. Filtros Excluyentes SI-NO'!$G$17, "CUMPLE 100%"))</f>
        <v>CUMPLE 100%</v>
      </c>
      <c r="E6" s="5">
        <v>44</v>
      </c>
      <c r="F6" s="5">
        <v>17</v>
      </c>
      <c r="G6" s="5">
        <v>27</v>
      </c>
      <c r="H6" s="47">
        <f t="shared" si="0"/>
        <v>88</v>
      </c>
      <c r="I6" s="47" t="str">
        <f t="shared" si="1"/>
        <v>IDÓNEO SOBRESALIENTE</v>
      </c>
      <c r="K6" s="56" t="s">
        <v>17</v>
      </c>
      <c r="L6" s="57"/>
      <c r="M6" s="48">
        <f>COUNTIFS(B5:B35, "?*", D5:D35, "CUMPLE 100%")</f>
        <v>16</v>
      </c>
    </row>
    <row r="7" spans="1:13" ht="23" customHeight="1" x14ac:dyDescent="0.35">
      <c r="A7" s="12">
        <v>3</v>
      </c>
      <c r="B7" s="12" t="s">
        <v>18</v>
      </c>
      <c r="C7" s="3" t="s">
        <v>19</v>
      </c>
      <c r="D7" s="43" t="str">
        <f>IF(B7="","",IF(B7='2. Filtros Excluyentes SI-NO'!$C$4, '2. Filtros Excluyentes SI-NO'!$G$17, "CUMPLE 100%"))</f>
        <v>CUMPLE 100%</v>
      </c>
      <c r="E7" s="3">
        <v>43.5</v>
      </c>
      <c r="F7" s="3">
        <v>17.5</v>
      </c>
      <c r="G7" s="3">
        <v>27.5</v>
      </c>
      <c r="H7" s="44">
        <f t="shared" si="0"/>
        <v>88.5</v>
      </c>
      <c r="I7" s="44" t="str">
        <f t="shared" si="1"/>
        <v>IDÓNEO SOBRESALIENTE</v>
      </c>
      <c r="K7" s="58" t="s">
        <v>20</v>
      </c>
      <c r="L7" s="57"/>
      <c r="M7" s="45">
        <f>COUNTIF(I5:I35, "IDÓNEO SOBRESALIENTE")</f>
        <v>7</v>
      </c>
    </row>
    <row r="8" spans="1:13" ht="23" customHeight="1" x14ac:dyDescent="0.35">
      <c r="A8" s="13">
        <v>4</v>
      </c>
      <c r="B8" s="13" t="s">
        <v>21</v>
      </c>
      <c r="C8" s="5" t="s">
        <v>22</v>
      </c>
      <c r="D8" s="46" t="str">
        <f>IF(B8="","",IF(B8='2. Filtros Excluyentes SI-NO'!$C$4, '2. Filtros Excluyentes SI-NO'!$G$17, "CUMPLE 100%"))</f>
        <v>CUMPLE 100%</v>
      </c>
      <c r="E8" s="5">
        <v>46.5</v>
      </c>
      <c r="F8" s="5">
        <v>18</v>
      </c>
      <c r="G8" s="5">
        <v>28</v>
      </c>
      <c r="H8" s="47">
        <f t="shared" si="0"/>
        <v>92.5</v>
      </c>
      <c r="I8" s="47" t="str">
        <f t="shared" si="1"/>
        <v>IDÓNEO SOBRESALIENTE</v>
      </c>
      <c r="K8" s="56" t="s">
        <v>23</v>
      </c>
      <c r="L8" s="57"/>
      <c r="M8" s="48">
        <f>COUNTIF(I5:I35, "IDÓNEO CONDICIONADO")</f>
        <v>9</v>
      </c>
    </row>
    <row r="9" spans="1:13" ht="23" customHeight="1" x14ac:dyDescent="0.35">
      <c r="A9" s="12">
        <v>5</v>
      </c>
      <c r="B9" s="12" t="s">
        <v>24</v>
      </c>
      <c r="C9" s="3" t="s">
        <v>25</v>
      </c>
      <c r="D9" s="43" t="str">
        <f>IF(B9="","",IF(B9='2. Filtros Excluyentes SI-NO'!$C$4, '2. Filtros Excluyentes SI-NO'!$G$17, "CUMPLE 100%"))</f>
        <v>CUMPLE 100%</v>
      </c>
      <c r="E9" s="3">
        <v>47</v>
      </c>
      <c r="F9" s="3">
        <v>18</v>
      </c>
      <c r="G9" s="3">
        <v>27.5</v>
      </c>
      <c r="H9" s="44">
        <f t="shared" si="0"/>
        <v>92.5</v>
      </c>
      <c r="I9" s="44" t="str">
        <f t="shared" si="1"/>
        <v>IDÓNEO SOBRESALIENTE</v>
      </c>
      <c r="K9" s="58" t="s">
        <v>26</v>
      </c>
      <c r="L9" s="57"/>
      <c r="M9" s="45">
        <f>COUNTIFS(B5:B35, "?*", I5:I35, "*NO*")</f>
        <v>0</v>
      </c>
    </row>
    <row r="10" spans="1:13" ht="23" customHeight="1" x14ac:dyDescent="0.35">
      <c r="A10" s="13">
        <v>6</v>
      </c>
      <c r="B10" s="13" t="s">
        <v>27</v>
      </c>
      <c r="C10" s="5" t="s">
        <v>28</v>
      </c>
      <c r="D10" s="46" t="str">
        <f>IF(B10="","",IF(B10='2. Filtros Excluyentes SI-NO'!$C$4, '2. Filtros Excluyentes SI-NO'!$G$17, "CUMPLE 100%"))</f>
        <v>CUMPLE 100%</v>
      </c>
      <c r="E10" s="5">
        <v>45</v>
      </c>
      <c r="F10" s="5">
        <v>17.5</v>
      </c>
      <c r="G10" s="5">
        <v>27</v>
      </c>
      <c r="H10" s="47">
        <f t="shared" si="0"/>
        <v>89.5</v>
      </c>
      <c r="I10" s="47" t="str">
        <f t="shared" si="1"/>
        <v>IDÓNEO SOBRESALIENTE</v>
      </c>
      <c r="K10" s="56" t="s">
        <v>29</v>
      </c>
      <c r="L10" s="57"/>
      <c r="M10" s="49">
        <f>IFERROR(ROUND(AVERAGEIF(H5:H35, "&gt;0"), 1), 0)</f>
        <v>82.1</v>
      </c>
    </row>
    <row r="11" spans="1:13" ht="23" customHeight="1" x14ac:dyDescent="0.35">
      <c r="A11" s="12">
        <v>7</v>
      </c>
      <c r="B11" s="12" t="s">
        <v>30</v>
      </c>
      <c r="C11" s="3" t="s">
        <v>31</v>
      </c>
      <c r="D11" s="43" t="str">
        <f>IF(B11="","",IF(B11='2. Filtros Excluyentes SI-NO'!$C$4, '2. Filtros Excluyentes SI-NO'!$G$17, "CUMPLE 100%"))</f>
        <v>CUMPLE 100%</v>
      </c>
      <c r="E11" s="3">
        <v>38.5</v>
      </c>
      <c r="F11" s="3">
        <v>15.5</v>
      </c>
      <c r="G11" s="3">
        <v>24.5</v>
      </c>
      <c r="H11" s="44">
        <f t="shared" si="0"/>
        <v>78.5</v>
      </c>
      <c r="I11" s="44" t="str">
        <f t="shared" si="1"/>
        <v>IDÓNEO CONDICIONADO</v>
      </c>
      <c r="K11" s="59" t="s">
        <v>32</v>
      </c>
      <c r="L11" s="57"/>
      <c r="M11" s="50">
        <f>IF(M5=0, 0, ROUND((M7+M8)/M5, 3))</f>
        <v>1</v>
      </c>
    </row>
    <row r="12" spans="1:13" ht="23" customHeight="1" x14ac:dyDescent="0.35">
      <c r="A12" s="13">
        <v>8</v>
      </c>
      <c r="B12" s="13" t="s">
        <v>33</v>
      </c>
      <c r="C12" s="5" t="s">
        <v>34</v>
      </c>
      <c r="D12" s="46" t="str">
        <f>IF(B12="","",IF(B12='2. Filtros Excluyentes SI-NO'!$C$4, '2. Filtros Excluyentes SI-NO'!$G$17, "CUMPLE 100%"))</f>
        <v>CUMPLE 100%</v>
      </c>
      <c r="E12" s="5">
        <v>38</v>
      </c>
      <c r="F12" s="5">
        <v>15</v>
      </c>
      <c r="G12" s="5">
        <v>24</v>
      </c>
      <c r="H12" s="47">
        <f t="shared" si="0"/>
        <v>77</v>
      </c>
      <c r="I12" s="47" t="str">
        <f t="shared" si="1"/>
        <v>IDÓNEO CONDICIONADO</v>
      </c>
    </row>
    <row r="13" spans="1:13" ht="23" customHeight="1" x14ac:dyDescent="0.35">
      <c r="A13" s="12">
        <v>9</v>
      </c>
      <c r="B13" s="12" t="s">
        <v>35</v>
      </c>
      <c r="C13" s="3" t="s">
        <v>36</v>
      </c>
      <c r="D13" s="43" t="str">
        <f>IF(B13="","",IF(B13='2. Filtros Excluyentes SI-NO'!$C$4, '2. Filtros Excluyentes SI-NO'!$G$17, "CUMPLE 100%"))</f>
        <v>CUMPLE 100%</v>
      </c>
      <c r="E13" s="3">
        <v>42</v>
      </c>
      <c r="F13" s="3">
        <v>17</v>
      </c>
      <c r="G13" s="3">
        <v>27.5</v>
      </c>
      <c r="H13" s="44">
        <f t="shared" si="0"/>
        <v>86.5</v>
      </c>
      <c r="I13" s="44" t="str">
        <f t="shared" si="1"/>
        <v>IDÓNEO SOBRESALIENTE</v>
      </c>
    </row>
    <row r="14" spans="1:13" ht="23" customHeight="1" x14ac:dyDescent="0.35">
      <c r="A14" s="13">
        <v>10</v>
      </c>
      <c r="B14" s="13" t="s">
        <v>37</v>
      </c>
      <c r="C14" s="5" t="s">
        <v>38</v>
      </c>
      <c r="D14" s="46" t="str">
        <f>IF(B14="","",IF(B14='2. Filtros Excluyentes SI-NO'!$C$4, '2. Filtros Excluyentes SI-NO'!$G$17, "CUMPLE 100%"))</f>
        <v>CUMPLE 100%</v>
      </c>
      <c r="E14" s="5">
        <v>39</v>
      </c>
      <c r="F14" s="5">
        <v>15.5</v>
      </c>
      <c r="G14" s="5">
        <v>25</v>
      </c>
      <c r="H14" s="47">
        <f t="shared" si="0"/>
        <v>79.5</v>
      </c>
      <c r="I14" s="47" t="str">
        <f t="shared" si="1"/>
        <v>IDÓNEO CONDICIONADO</v>
      </c>
    </row>
    <row r="15" spans="1:13" ht="23" customHeight="1" x14ac:dyDescent="0.35">
      <c r="A15" s="12">
        <v>11</v>
      </c>
      <c r="B15" s="12" t="s">
        <v>39</v>
      </c>
      <c r="C15" s="3" t="s">
        <v>40</v>
      </c>
      <c r="D15" s="43" t="str">
        <f>IF(B15="","",IF(B15='2. Filtros Excluyentes SI-NO'!$C$4, '2. Filtros Excluyentes SI-NO'!$G$17, "CUMPLE 100%"))</f>
        <v>CUMPLE 100%</v>
      </c>
      <c r="E15" s="3">
        <v>41.5</v>
      </c>
      <c r="F15" s="3">
        <v>16.5</v>
      </c>
      <c r="G15" s="3">
        <v>26.5</v>
      </c>
      <c r="H15" s="44">
        <f t="shared" si="0"/>
        <v>84.5</v>
      </c>
      <c r="I15" s="44" t="str">
        <f t="shared" si="1"/>
        <v>IDÓNEO CONDICIONADO</v>
      </c>
    </row>
    <row r="16" spans="1:13" ht="23" customHeight="1" x14ac:dyDescent="0.35">
      <c r="A16" s="13">
        <v>12</v>
      </c>
      <c r="B16" s="13" t="s">
        <v>41</v>
      </c>
      <c r="C16" s="5" t="s">
        <v>42</v>
      </c>
      <c r="D16" s="46" t="str">
        <f>IF(B16="","",IF(B16='2. Filtros Excluyentes SI-NO'!$C$4, '2. Filtros Excluyentes SI-NO'!$G$17, "CUMPLE 100%"))</f>
        <v>CUMPLE 100%</v>
      </c>
      <c r="E16" s="5">
        <v>34</v>
      </c>
      <c r="F16" s="5">
        <v>15</v>
      </c>
      <c r="G16" s="5">
        <v>23</v>
      </c>
      <c r="H16" s="47">
        <f t="shared" si="0"/>
        <v>72</v>
      </c>
      <c r="I16" s="47" t="str">
        <f t="shared" si="1"/>
        <v>IDÓNEO CONDICIONADO</v>
      </c>
    </row>
    <row r="17" spans="1:9" ht="23" customHeight="1" x14ac:dyDescent="0.35">
      <c r="A17" s="12">
        <v>13</v>
      </c>
      <c r="B17" s="12" t="s">
        <v>43</v>
      </c>
      <c r="C17" s="3" t="s">
        <v>42</v>
      </c>
      <c r="D17" s="43" t="str">
        <f>IF(B17="","",IF(B17='2. Filtros Excluyentes SI-NO'!$C$4, '2. Filtros Excluyentes SI-NO'!$G$17, "CUMPLE 100%"))</f>
        <v>CUMPLE 100%</v>
      </c>
      <c r="E17" s="3">
        <v>33.5</v>
      </c>
      <c r="F17" s="3">
        <v>14.5</v>
      </c>
      <c r="G17" s="3">
        <v>23.5</v>
      </c>
      <c r="H17" s="44">
        <f t="shared" si="0"/>
        <v>71.5</v>
      </c>
      <c r="I17" s="44" t="str">
        <f t="shared" si="1"/>
        <v>IDÓNEO CONDICIONADO</v>
      </c>
    </row>
    <row r="18" spans="1:9" ht="23" customHeight="1" x14ac:dyDescent="0.35">
      <c r="A18" s="13">
        <v>14</v>
      </c>
      <c r="B18" s="13" t="s">
        <v>44</v>
      </c>
      <c r="C18" s="5" t="s">
        <v>42</v>
      </c>
      <c r="D18" s="46" t="str">
        <f>IF(B18="","",IF(B18='2. Filtros Excluyentes SI-NO'!$C$4, '2. Filtros Excluyentes SI-NO'!$G$17, "CUMPLE 100%"))</f>
        <v>CUMPLE 100%</v>
      </c>
      <c r="E18" s="5">
        <v>34.5</v>
      </c>
      <c r="F18" s="5">
        <v>15</v>
      </c>
      <c r="G18" s="5">
        <v>23</v>
      </c>
      <c r="H18" s="47">
        <f t="shared" si="0"/>
        <v>72.5</v>
      </c>
      <c r="I18" s="47" t="str">
        <f t="shared" si="1"/>
        <v>IDÓNEO CONDICIONADO</v>
      </c>
    </row>
    <row r="19" spans="1:9" ht="23" customHeight="1" x14ac:dyDescent="0.35">
      <c r="A19" s="12">
        <v>15</v>
      </c>
      <c r="B19" s="12" t="s">
        <v>45</v>
      </c>
      <c r="C19" s="3" t="s">
        <v>42</v>
      </c>
      <c r="D19" s="43" t="str">
        <f>IF(B19="","",IF(B19='2. Filtros Excluyentes SI-NO'!$C$4, '2. Filtros Excluyentes SI-NO'!$G$17, "CUMPLE 100%"))</f>
        <v>CUMPLE 100%</v>
      </c>
      <c r="E19" s="3">
        <v>35</v>
      </c>
      <c r="F19" s="3">
        <v>15.5</v>
      </c>
      <c r="G19" s="3">
        <v>24</v>
      </c>
      <c r="H19" s="44">
        <f t="shared" si="0"/>
        <v>74.5</v>
      </c>
      <c r="I19" s="44" t="str">
        <f t="shared" si="1"/>
        <v>IDÓNEO CONDICIONADO</v>
      </c>
    </row>
    <row r="20" spans="1:9" ht="23" customHeight="1" x14ac:dyDescent="0.35">
      <c r="A20" s="13">
        <v>16</v>
      </c>
      <c r="B20" s="13" t="s">
        <v>46</v>
      </c>
      <c r="C20" s="5" t="s">
        <v>42</v>
      </c>
      <c r="D20" s="46" t="str">
        <f>IF(B20="","",IF(B20='2. Filtros Excluyentes SI-NO'!$C$4, '2. Filtros Excluyentes SI-NO'!$G$17, "CUMPLE 100%"))</f>
        <v>CUMPLE 100%</v>
      </c>
      <c r="E20" s="5">
        <v>34</v>
      </c>
      <c r="F20" s="5">
        <v>15</v>
      </c>
      <c r="G20" s="5">
        <v>23.5</v>
      </c>
      <c r="H20" s="47">
        <f t="shared" si="0"/>
        <v>72.5</v>
      </c>
      <c r="I20" s="47" t="str">
        <f t="shared" si="1"/>
        <v>IDÓNEO CONDICIONADO</v>
      </c>
    </row>
    <row r="21" spans="1:9" ht="23" customHeight="1" x14ac:dyDescent="0.35">
      <c r="A21" s="12">
        <v>17</v>
      </c>
      <c r="B21" s="3"/>
      <c r="C21" s="3"/>
      <c r="D21" s="43" t="str">
        <f>IF(B21="","",IF(B21='2. Filtros Excluyentes SI-NO'!$C$4, '2. Filtros Excluyentes SI-NO'!$G$17, "CUMPLE 100%"))</f>
        <v/>
      </c>
      <c r="E21" s="3">
        <v>0</v>
      </c>
      <c r="F21" s="3">
        <v>0</v>
      </c>
      <c r="G21" s="3">
        <v>0</v>
      </c>
      <c r="H21" s="44" t="str">
        <f t="shared" si="0"/>
        <v/>
      </c>
      <c r="I21" s="44" t="str">
        <f t="shared" si="1"/>
        <v/>
      </c>
    </row>
    <row r="22" spans="1:9" ht="23" customHeight="1" x14ac:dyDescent="0.35">
      <c r="A22" s="12">
        <v>18</v>
      </c>
      <c r="B22" s="3"/>
      <c r="C22" s="3"/>
      <c r="D22" s="43" t="str">
        <f>IF(B22="","",IF(B22='2. Filtros Excluyentes SI-NO'!$C$4, '2. Filtros Excluyentes SI-NO'!$G$17, "CUMPLE 100%"))</f>
        <v/>
      </c>
      <c r="E22" s="3">
        <v>0</v>
      </c>
      <c r="F22" s="3">
        <v>0</v>
      </c>
      <c r="G22" s="3">
        <v>0</v>
      </c>
      <c r="H22" s="44" t="str">
        <f t="shared" si="0"/>
        <v/>
      </c>
      <c r="I22" s="44" t="str">
        <f t="shared" si="1"/>
        <v/>
      </c>
    </row>
    <row r="23" spans="1:9" ht="23" customHeight="1" x14ac:dyDescent="0.35">
      <c r="A23" s="12">
        <v>19</v>
      </c>
      <c r="B23" s="3"/>
      <c r="C23" s="3"/>
      <c r="D23" s="43" t="str">
        <f>IF(B23="","",IF(B23='2. Filtros Excluyentes SI-NO'!$C$4, '2. Filtros Excluyentes SI-NO'!$G$17, "CUMPLE 100%"))</f>
        <v/>
      </c>
      <c r="E23" s="3">
        <v>0</v>
      </c>
      <c r="F23" s="3">
        <v>0</v>
      </c>
      <c r="G23" s="3">
        <v>0</v>
      </c>
      <c r="H23" s="44" t="str">
        <f t="shared" si="0"/>
        <v/>
      </c>
      <c r="I23" s="44" t="str">
        <f t="shared" si="1"/>
        <v/>
      </c>
    </row>
    <row r="24" spans="1:9" ht="23" customHeight="1" x14ac:dyDescent="0.35">
      <c r="A24" s="12">
        <v>20</v>
      </c>
      <c r="B24" s="3"/>
      <c r="C24" s="3"/>
      <c r="D24" s="43" t="str">
        <f>IF(B24="","",IF(B24='2. Filtros Excluyentes SI-NO'!$C$4, '2. Filtros Excluyentes SI-NO'!$G$17, "CUMPLE 100%"))</f>
        <v/>
      </c>
      <c r="E24" s="3">
        <v>0</v>
      </c>
      <c r="F24" s="3">
        <v>0</v>
      </c>
      <c r="G24" s="3">
        <v>0</v>
      </c>
      <c r="H24" s="44" t="str">
        <f t="shared" si="0"/>
        <v/>
      </c>
      <c r="I24" s="44" t="str">
        <f t="shared" si="1"/>
        <v/>
      </c>
    </row>
    <row r="25" spans="1:9" ht="23" customHeight="1" x14ac:dyDescent="0.35">
      <c r="A25" s="12">
        <v>21</v>
      </c>
      <c r="B25" s="3"/>
      <c r="C25" s="3"/>
      <c r="D25" s="43" t="str">
        <f>IF(B25="","",IF(B25='2. Filtros Excluyentes SI-NO'!$C$4, '2. Filtros Excluyentes SI-NO'!$G$17, "CUMPLE 100%"))</f>
        <v/>
      </c>
      <c r="E25" s="3">
        <v>0</v>
      </c>
      <c r="F25" s="3">
        <v>0</v>
      </c>
      <c r="G25" s="3">
        <v>0</v>
      </c>
      <c r="H25" s="44" t="str">
        <f t="shared" si="0"/>
        <v/>
      </c>
      <c r="I25" s="44" t="str">
        <f t="shared" si="1"/>
        <v/>
      </c>
    </row>
    <row r="26" spans="1:9" ht="23" customHeight="1" x14ac:dyDescent="0.35">
      <c r="A26" s="12">
        <v>22</v>
      </c>
      <c r="B26" s="3"/>
      <c r="C26" s="3"/>
      <c r="D26" s="43" t="str">
        <f>IF(B26="","",IF(B26='2. Filtros Excluyentes SI-NO'!$C$4, '2. Filtros Excluyentes SI-NO'!$G$17, "CUMPLE 100%"))</f>
        <v/>
      </c>
      <c r="E26" s="3">
        <v>0</v>
      </c>
      <c r="F26" s="3">
        <v>0</v>
      </c>
      <c r="G26" s="3">
        <v>0</v>
      </c>
      <c r="H26" s="44" t="str">
        <f t="shared" si="0"/>
        <v/>
      </c>
      <c r="I26" s="44" t="str">
        <f t="shared" si="1"/>
        <v/>
      </c>
    </row>
    <row r="27" spans="1:9" ht="23" customHeight="1" x14ac:dyDescent="0.35">
      <c r="A27" s="12">
        <v>23</v>
      </c>
      <c r="B27" s="3"/>
      <c r="C27" s="3"/>
      <c r="D27" s="43" t="str">
        <f>IF(B27="","",IF(B27='2. Filtros Excluyentes SI-NO'!$C$4, '2. Filtros Excluyentes SI-NO'!$G$17, "CUMPLE 100%"))</f>
        <v/>
      </c>
      <c r="E27" s="3">
        <v>0</v>
      </c>
      <c r="F27" s="3">
        <v>0</v>
      </c>
      <c r="G27" s="3">
        <v>0</v>
      </c>
      <c r="H27" s="44" t="str">
        <f t="shared" si="0"/>
        <v/>
      </c>
      <c r="I27" s="44" t="str">
        <f t="shared" si="1"/>
        <v/>
      </c>
    </row>
    <row r="28" spans="1:9" ht="23" customHeight="1" x14ac:dyDescent="0.35">
      <c r="A28" s="12">
        <v>24</v>
      </c>
      <c r="B28" s="3"/>
      <c r="C28" s="3"/>
      <c r="D28" s="43" t="str">
        <f>IF(B28="","",IF(B28='2. Filtros Excluyentes SI-NO'!$C$4, '2. Filtros Excluyentes SI-NO'!$G$17, "CUMPLE 100%"))</f>
        <v/>
      </c>
      <c r="E28" s="3">
        <v>0</v>
      </c>
      <c r="F28" s="3">
        <v>0</v>
      </c>
      <c r="G28" s="3">
        <v>0</v>
      </c>
      <c r="H28" s="44" t="str">
        <f t="shared" si="0"/>
        <v/>
      </c>
      <c r="I28" s="44" t="str">
        <f t="shared" si="1"/>
        <v/>
      </c>
    </row>
    <row r="29" spans="1:9" ht="23" customHeight="1" x14ac:dyDescent="0.35">
      <c r="A29" s="12">
        <v>25</v>
      </c>
      <c r="B29" s="3"/>
      <c r="C29" s="3"/>
      <c r="D29" s="43" t="str">
        <f>IF(B29="","",IF(B29='2. Filtros Excluyentes SI-NO'!$C$4, '2. Filtros Excluyentes SI-NO'!$G$17, "CUMPLE 100%"))</f>
        <v/>
      </c>
      <c r="E29" s="3">
        <v>0</v>
      </c>
      <c r="F29" s="3">
        <v>0</v>
      </c>
      <c r="G29" s="3">
        <v>0</v>
      </c>
      <c r="H29" s="44" t="str">
        <f t="shared" si="0"/>
        <v/>
      </c>
      <c r="I29" s="44" t="str">
        <f t="shared" si="1"/>
        <v/>
      </c>
    </row>
    <row r="30" spans="1:9" ht="23" customHeight="1" x14ac:dyDescent="0.35">
      <c r="A30" s="12">
        <v>26</v>
      </c>
      <c r="B30" s="3"/>
      <c r="C30" s="3"/>
      <c r="D30" s="43" t="str">
        <f>IF(B30="","",IF(B30='2. Filtros Excluyentes SI-NO'!$C$4, '2. Filtros Excluyentes SI-NO'!$G$17, "CUMPLE 100%"))</f>
        <v/>
      </c>
      <c r="E30" s="3">
        <v>0</v>
      </c>
      <c r="F30" s="3">
        <v>0</v>
      </c>
      <c r="G30" s="3">
        <v>0</v>
      </c>
      <c r="H30" s="44" t="str">
        <f t="shared" si="0"/>
        <v/>
      </c>
      <c r="I30" s="44" t="str">
        <f t="shared" si="1"/>
        <v/>
      </c>
    </row>
    <row r="31" spans="1:9" x14ac:dyDescent="0.35">
      <c r="D31" s="51" t="str">
        <f>IF(B31="","",IF(B31='2. Filtros Excluyentes SI-NO'!$C$4, '2. Filtros Excluyentes SI-NO'!$G$17, "CUMPLE 100%"))</f>
        <v/>
      </c>
      <c r="H31" s="52" t="str">
        <f t="shared" si="0"/>
        <v/>
      </c>
      <c r="I31" s="52" t="str">
        <f t="shared" si="1"/>
        <v/>
      </c>
    </row>
    <row r="32" spans="1:9" x14ac:dyDescent="0.35">
      <c r="D32" s="51" t="str">
        <f>IF(B32="","",IF(B32='2. Filtros Excluyentes SI-NO'!$C$4, '2. Filtros Excluyentes SI-NO'!$G$17, "CUMPLE 100%"))</f>
        <v/>
      </c>
      <c r="H32" s="52" t="str">
        <f t="shared" si="0"/>
        <v/>
      </c>
      <c r="I32" s="52" t="str">
        <f t="shared" si="1"/>
        <v/>
      </c>
    </row>
    <row r="33" spans="4:9" x14ac:dyDescent="0.35">
      <c r="D33" s="51" t="str">
        <f>IF(B33="","",IF(B33='2. Filtros Excluyentes SI-NO'!$C$4, '2. Filtros Excluyentes SI-NO'!$G$17, "CUMPLE 100%"))</f>
        <v/>
      </c>
      <c r="H33" s="52" t="str">
        <f t="shared" si="0"/>
        <v/>
      </c>
      <c r="I33" s="52" t="str">
        <f t="shared" si="1"/>
        <v/>
      </c>
    </row>
    <row r="34" spans="4:9" x14ac:dyDescent="0.35">
      <c r="D34" s="51" t="str">
        <f>IF(B34="","",IF(B34='2. Filtros Excluyentes SI-NO'!$C$4, '2. Filtros Excluyentes SI-NO'!$G$17, "CUMPLE 100%"))</f>
        <v/>
      </c>
      <c r="H34" s="52" t="str">
        <f t="shared" si="0"/>
        <v/>
      </c>
      <c r="I34" s="52" t="str">
        <f t="shared" si="1"/>
        <v/>
      </c>
    </row>
    <row r="35" spans="4:9" x14ac:dyDescent="0.35">
      <c r="D35" s="51" t="str">
        <f>IF(B35="","",IF(B35='2. Filtros Excluyentes SI-NO'!$C$4, '2. Filtros Excluyentes SI-NO'!$G$17, "CUMPLE 100%"))</f>
        <v/>
      </c>
      <c r="H35" s="52" t="str">
        <f t="shared" si="0"/>
        <v/>
      </c>
      <c r="I35" s="52" t="str">
        <f t="shared" si="1"/>
        <v/>
      </c>
    </row>
  </sheetData>
  <mergeCells count="10">
    <mergeCell ref="C2:I2"/>
    <mergeCell ref="C1:I1"/>
    <mergeCell ref="K6:L6"/>
    <mergeCell ref="K7:L7"/>
    <mergeCell ref="K11:L11"/>
    <mergeCell ref="K8:L8"/>
    <mergeCell ref="K4:M4"/>
    <mergeCell ref="K10:L10"/>
    <mergeCell ref="K9:L9"/>
    <mergeCell ref="K5:L5"/>
  </mergeCells>
  <conditionalFormatting sqref="I5:I35">
    <cfRule type="expression" dxfId="2" priority="1">
      <formula>ISNUMBER(SEARCH("SOBRESALIENTE",I5))</formula>
    </cfRule>
    <cfRule type="expression" dxfId="1" priority="2">
      <formula>ISNUMBER(SEARCH("CONDICIONADO",I5))</formula>
    </cfRule>
    <cfRule type="expression" dxfId="0" priority="3">
      <formula>OR(ISNUMBER(SEARCH("NO IDÓNEO",I5)),ISNUMBER(SEARCH("DESCARTADO",I5)))</formula>
    </cfRule>
  </conditionalFormatting>
  <dataValidations count="2">
    <dataValidation type="list" allowBlank="1" sqref="C5:C35" xr:uid="{00000000-0002-0000-0500-000000000000}">
      <formula1>_xlfn._LONGTEXT("Director Médico / Líder NewCare,Coordinadora Asistencial,Gestor de Casos (Case Manager),Médico Especialista Internista,Médico Especialista Intensivista,Médico Especialista Pediatra,Médico General Domiciliario / Ambulatorio,Auxiliar de Enfermería Domicilia","ria,Profesional de Fisioterapia,Profesional de Fonoaudiología,Profesional de Psicología,Profesional de Nutrición,Profesional de Trabajo Social")</formula1>
    </dataValidation>
    <dataValidation type="list" allowBlank="1" sqref="D5:D35" xr:uid="{00000000-0002-0000-0500-000001000000}">
      <formula1>"CUMPLE 100%,NO CUMPLE (DESCARTADO)"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1. Metodologia NewCare</vt:lpstr>
      <vt:lpstr>2. Filtros Excluyentes SI-NO</vt:lpstr>
      <vt:lpstr>3. Baremo CV (50 Puntos)</vt:lpstr>
      <vt:lpstr>4. Psicotecnico y Entrevista</vt:lpstr>
      <vt:lpstr>5. Fichas de Cargo NewCare</vt:lpstr>
      <vt:lpstr>6. Registro y Evaluador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Nicolás Fernando Bedoya Mejía</cp:lastModifiedBy>
  <dcterms:created xsi:type="dcterms:W3CDTF">2026-10-08T16:55:45Z</dcterms:created>
  <dcterms:modified xsi:type="dcterms:W3CDTF">2026-10-08T20:05:54Z</dcterms:modified>
</cp:coreProperties>
</file>