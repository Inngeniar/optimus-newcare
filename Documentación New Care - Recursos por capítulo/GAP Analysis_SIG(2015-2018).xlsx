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4.xml" ContentType="application/vnd.openxmlformats-officedocument.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showInkAnnotation="0" autoCompressPictures="0"/>
  <mc:AlternateContent xmlns:mc="http://schemas.openxmlformats.org/markup-compatibility/2006">
    <mc:Choice Requires="x15">
      <x15ac:absPath xmlns:x15ac="http://schemas.microsoft.com/office/spreadsheetml/2010/11/ac" url="https://d.docs.live.net/ebe179f5566a80cf/INNGENIAR/SIG/"/>
    </mc:Choice>
  </mc:AlternateContent>
  <xr:revisionPtr revIDLastSave="253" documentId="13_ncr:1_{B69679E0-5373-8046-91EC-2B1DA84FD2EF}" xr6:coauthVersionLast="47" xr6:coauthVersionMax="47" xr10:uidLastSave="{C179FFF2-2552-4722-9C94-CCFC790B77FC}"/>
  <bookViews>
    <workbookView xWindow="-110" yWindow="-110" windowWidth="25820" windowHeight="15500" tabRatio="500" activeTab="1" xr2:uid="{00000000-000D-0000-FFFF-FFFF00000000}"/>
  </bookViews>
  <sheets>
    <sheet name="Contenido" sheetId="4" r:id="rId1"/>
    <sheet name="SGC" sheetId="1" r:id="rId2"/>
    <sheet name="SGA" sheetId="2" r:id="rId3"/>
    <sheet name="SST" sheetId="3"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5" i="2" l="1"/>
  <c r="D6" i="2"/>
  <c r="G522" i="1"/>
  <c r="G491" i="1"/>
  <c r="E269" i="1"/>
  <c r="G226" i="1"/>
  <c r="G131" i="1"/>
  <c r="G86" i="1"/>
  <c r="E41" i="1"/>
  <c r="E36" i="1"/>
  <c r="E57" i="1"/>
  <c r="E63" i="1"/>
  <c r="E71" i="1"/>
  <c r="E77" i="1"/>
  <c r="E86" i="1"/>
  <c r="E95" i="1"/>
  <c r="E102" i="1"/>
  <c r="E115" i="1"/>
  <c r="E123" i="1"/>
  <c r="E131" i="1"/>
  <c r="E139" i="1"/>
  <c r="E142" i="1"/>
  <c r="E150" i="1"/>
  <c r="E157" i="1"/>
  <c r="E165" i="1"/>
  <c r="E172" i="1"/>
  <c r="E177" i="1"/>
  <c r="E184" i="1"/>
  <c r="E191" i="1"/>
  <c r="E199" i="1"/>
  <c r="E205" i="1"/>
  <c r="E211" i="1"/>
  <c r="E217" i="1"/>
  <c r="E226" i="1"/>
  <c r="E242" i="1"/>
  <c r="E251" i="1"/>
  <c r="E258" i="1"/>
  <c r="E273" i="1"/>
  <c r="E276" i="1"/>
  <c r="E280" i="1"/>
  <c r="E293" i="1"/>
  <c r="E304" i="1"/>
  <c r="E313" i="1"/>
  <c r="E321" i="1"/>
  <c r="E326" i="1"/>
  <c r="E335" i="1"/>
  <c r="E345" i="1"/>
  <c r="E358" i="1"/>
  <c r="E373" i="1"/>
  <c r="E378" i="1"/>
  <c r="E383" i="1"/>
  <c r="E387" i="1"/>
  <c r="E396" i="1"/>
  <c r="E400" i="1"/>
  <c r="E407" i="1"/>
  <c r="E418" i="1"/>
  <c r="E424" i="1"/>
  <c r="E435" i="1"/>
  <c r="E438" i="1"/>
  <c r="E449" i="1"/>
  <c r="E456" i="1"/>
  <c r="E464" i="1"/>
  <c r="E468" i="1"/>
  <c r="E484" i="1"/>
  <c r="E491" i="1"/>
  <c r="E499" i="1"/>
  <c r="E514" i="1"/>
  <c r="E518" i="1"/>
  <c r="E522" i="1"/>
  <c r="D146" i="3"/>
  <c r="C146" i="3"/>
  <c r="D335" i="3" l="1"/>
  <c r="D336" i="3"/>
  <c r="D337" i="3"/>
  <c r="D338" i="3"/>
  <c r="D339" i="3"/>
  <c r="D340" i="3"/>
  <c r="D311" i="3"/>
  <c r="D312" i="3"/>
  <c r="D313" i="3"/>
  <c r="D314" i="3"/>
  <c r="D315" i="3"/>
  <c r="D316" i="3"/>
  <c r="D317" i="3"/>
  <c r="D318" i="3"/>
  <c r="D319" i="3"/>
  <c r="D320" i="3"/>
  <c r="D306" i="3"/>
  <c r="D280" i="3"/>
  <c r="D281" i="3"/>
  <c r="D282" i="3"/>
  <c r="D267" i="3"/>
  <c r="D268" i="3"/>
  <c r="D238" i="3"/>
  <c r="D239" i="3"/>
  <c r="D350" i="3"/>
  <c r="C350" i="3"/>
  <c r="D349" i="3"/>
  <c r="D348" i="3"/>
  <c r="D347" i="3"/>
  <c r="D346" i="3"/>
  <c r="D345" i="3"/>
  <c r="D344" i="3"/>
  <c r="D342" i="3"/>
  <c r="C342" i="3"/>
  <c r="D341" i="3"/>
  <c r="D334" i="3"/>
  <c r="D333" i="3"/>
  <c r="D332" i="3"/>
  <c r="D331" i="3"/>
  <c r="D330" i="3"/>
  <c r="D329" i="3"/>
  <c r="D327" i="3"/>
  <c r="C327" i="3"/>
  <c r="E327" i="3" s="1"/>
  <c r="D326" i="3"/>
  <c r="D325" i="3"/>
  <c r="D322" i="3"/>
  <c r="C322" i="3"/>
  <c r="D321" i="3"/>
  <c r="D310" i="3"/>
  <c r="D308" i="3"/>
  <c r="C308" i="3"/>
  <c r="D307" i="3"/>
  <c r="D305" i="3"/>
  <c r="D304" i="3"/>
  <c r="D303" i="3"/>
  <c r="D302" i="3"/>
  <c r="D301" i="3"/>
  <c r="D300" i="3"/>
  <c r="D298" i="3"/>
  <c r="C298" i="3"/>
  <c r="E298" i="3" s="1"/>
  <c r="D297" i="3"/>
  <c r="D296" i="3"/>
  <c r="D295" i="3"/>
  <c r="D292" i="3"/>
  <c r="C292" i="3"/>
  <c r="D291" i="3"/>
  <c r="D290" i="3"/>
  <c r="D289" i="3"/>
  <c r="D288" i="3"/>
  <c r="D287" i="3"/>
  <c r="D286" i="3"/>
  <c r="D284" i="3"/>
  <c r="E284" i="3" s="1"/>
  <c r="C284" i="3"/>
  <c r="D283" i="3"/>
  <c r="D279" i="3"/>
  <c r="D278" i="3"/>
  <c r="D277" i="3"/>
  <c r="D276" i="3"/>
  <c r="D275" i="3"/>
  <c r="D274" i="3"/>
  <c r="D270" i="3"/>
  <c r="C270" i="3"/>
  <c r="E270" i="3" s="1"/>
  <c r="D269" i="3"/>
  <c r="D266" i="3"/>
  <c r="D265" i="3"/>
  <c r="D264" i="3"/>
  <c r="D263" i="3"/>
  <c r="D262" i="3"/>
  <c r="D261" i="3"/>
  <c r="D176" i="3"/>
  <c r="D177" i="3"/>
  <c r="D178" i="3"/>
  <c r="D179" i="3"/>
  <c r="E292" i="3" l="1"/>
  <c r="E308" i="3"/>
  <c r="E322" i="3"/>
  <c r="E342" i="3"/>
  <c r="G350" i="3"/>
  <c r="I9" i="4" s="1"/>
  <c r="G322" i="3"/>
  <c r="H9" i="4" s="1"/>
  <c r="E350" i="3"/>
  <c r="D259" i="3"/>
  <c r="C259" i="3"/>
  <c r="E259" i="3" s="1"/>
  <c r="D258" i="3"/>
  <c r="D257" i="3"/>
  <c r="D256" i="3"/>
  <c r="D254" i="3"/>
  <c r="E254" i="3" s="1"/>
  <c r="C254" i="3"/>
  <c r="D253" i="3"/>
  <c r="D252" i="3"/>
  <c r="D251" i="3"/>
  <c r="D250" i="3"/>
  <c r="D249" i="3"/>
  <c r="D248" i="3"/>
  <c r="D246" i="3"/>
  <c r="C246" i="3"/>
  <c r="D245" i="3"/>
  <c r="D244" i="3"/>
  <c r="D241" i="3"/>
  <c r="C241" i="3"/>
  <c r="D240" i="3"/>
  <c r="D237" i="3"/>
  <c r="D236" i="3"/>
  <c r="D235" i="3"/>
  <c r="D234" i="3"/>
  <c r="D233" i="3"/>
  <c r="D231" i="3"/>
  <c r="E231" i="3" s="1"/>
  <c r="C231" i="3"/>
  <c r="D230" i="3"/>
  <c r="D229" i="3"/>
  <c r="D228" i="3"/>
  <c r="D227" i="3"/>
  <c r="D226" i="3"/>
  <c r="D225" i="3"/>
  <c r="D224" i="3"/>
  <c r="D222" i="3"/>
  <c r="C222" i="3"/>
  <c r="E222" i="3" s="1"/>
  <c r="D221" i="3"/>
  <c r="D220" i="3"/>
  <c r="D219" i="3"/>
  <c r="D218" i="3"/>
  <c r="D217" i="3"/>
  <c r="D216" i="3"/>
  <c r="D212" i="3"/>
  <c r="C212" i="3"/>
  <c r="E212" i="3" s="1"/>
  <c r="D211" i="3"/>
  <c r="D210" i="3"/>
  <c r="D209" i="3"/>
  <c r="D208" i="3"/>
  <c r="D207" i="3"/>
  <c r="D206" i="3"/>
  <c r="D205" i="3"/>
  <c r="D203" i="3"/>
  <c r="C203" i="3"/>
  <c r="E203" i="3" s="1"/>
  <c r="D202" i="3"/>
  <c r="D201" i="3"/>
  <c r="D200" i="3"/>
  <c r="D199" i="3"/>
  <c r="D197" i="3"/>
  <c r="C197" i="3"/>
  <c r="D196" i="3"/>
  <c r="D195" i="3"/>
  <c r="D194" i="3"/>
  <c r="D193" i="3"/>
  <c r="D190" i="3"/>
  <c r="C190" i="3"/>
  <c r="E190" i="3" s="1"/>
  <c r="D189" i="3"/>
  <c r="D188" i="3"/>
  <c r="D186" i="3"/>
  <c r="C186" i="3"/>
  <c r="D185" i="3"/>
  <c r="D184" i="3"/>
  <c r="D183" i="3"/>
  <c r="D181" i="3"/>
  <c r="C181" i="3"/>
  <c r="D180" i="3"/>
  <c r="D175" i="3"/>
  <c r="D174" i="3"/>
  <c r="D173" i="3"/>
  <c r="D172" i="3"/>
  <c r="D171" i="3"/>
  <c r="D168" i="3"/>
  <c r="C168" i="3"/>
  <c r="D167" i="3"/>
  <c r="D166" i="3"/>
  <c r="D165" i="3"/>
  <c r="D164" i="3"/>
  <c r="D163" i="3"/>
  <c r="D162" i="3"/>
  <c r="D161" i="3"/>
  <c r="D138" i="3"/>
  <c r="D139" i="3"/>
  <c r="D140" i="3"/>
  <c r="D141" i="3"/>
  <c r="D142" i="3"/>
  <c r="D143" i="3"/>
  <c r="D145" i="3"/>
  <c r="D128" i="3"/>
  <c r="D129" i="3"/>
  <c r="D130" i="3"/>
  <c r="D131" i="3"/>
  <c r="D132" i="3"/>
  <c r="D133" i="3"/>
  <c r="D134" i="3"/>
  <c r="D120" i="3"/>
  <c r="D121" i="3"/>
  <c r="D122" i="3"/>
  <c r="D107" i="3"/>
  <c r="D95" i="3"/>
  <c r="D88" i="3"/>
  <c r="D89" i="3"/>
  <c r="D90" i="3"/>
  <c r="D91" i="3"/>
  <c r="D92" i="3"/>
  <c r="D93" i="3"/>
  <c r="D94" i="3"/>
  <c r="D81" i="3"/>
  <c r="D82" i="3"/>
  <c r="D83" i="3"/>
  <c r="D79" i="3"/>
  <c r="D80" i="3"/>
  <c r="E186" i="3" l="1"/>
  <c r="E168" i="3"/>
  <c r="E181" i="3"/>
  <c r="E241" i="3"/>
  <c r="G270" i="3" s="1"/>
  <c r="G9" i="4" s="1"/>
  <c r="E246" i="3"/>
  <c r="E197" i="3"/>
  <c r="D66" i="3"/>
  <c r="D67" i="3"/>
  <c r="D68" i="3"/>
  <c r="D69" i="3"/>
  <c r="D47" i="3"/>
  <c r="D48" i="3"/>
  <c r="D49" i="3"/>
  <c r="D50" i="3"/>
  <c r="D35" i="3"/>
  <c r="D36" i="3"/>
  <c r="D37" i="3"/>
  <c r="D38" i="3"/>
  <c r="D39" i="3"/>
  <c r="D40" i="3"/>
  <c r="D17" i="3"/>
  <c r="D18" i="3"/>
  <c r="D19" i="3"/>
  <c r="D20" i="3"/>
  <c r="A5" i="3"/>
  <c r="A8" i="3" s="1"/>
  <c r="D5" i="3"/>
  <c r="C280" i="1" l="1"/>
  <c r="D280" i="1"/>
  <c r="D292" i="2"/>
  <c r="D291" i="2"/>
  <c r="D290" i="2"/>
  <c r="D280" i="2"/>
  <c r="D279" i="2"/>
  <c r="D278" i="2"/>
  <c r="D277" i="2"/>
  <c r="D276" i="2"/>
  <c r="C245" i="2"/>
  <c r="E245" i="2" s="1"/>
  <c r="D245" i="2"/>
  <c r="C218" i="2"/>
  <c r="D218" i="2"/>
  <c r="C203" i="2"/>
  <c r="E203" i="2" s="1"/>
  <c r="D203" i="2"/>
  <c r="C192" i="2"/>
  <c r="D192" i="2"/>
  <c r="C159" i="2"/>
  <c r="E159" i="2" s="1"/>
  <c r="D159" i="2"/>
  <c r="C139" i="2"/>
  <c r="D139" i="2"/>
  <c r="E139" i="2" s="1"/>
  <c r="C119" i="2"/>
  <c r="D119" i="2"/>
  <c r="E119" i="2"/>
  <c r="C12" i="3"/>
  <c r="E12" i="3" s="1"/>
  <c r="D12" i="3"/>
  <c r="C6" i="3"/>
  <c r="D6" i="3"/>
  <c r="C435" i="1"/>
  <c r="D435" i="1"/>
  <c r="C258" i="1"/>
  <c r="D258" i="1"/>
  <c r="C172" i="1"/>
  <c r="D172" i="1"/>
  <c r="D4" i="3"/>
  <c r="A9" i="3"/>
  <c r="A10" i="3" s="1"/>
  <c r="A11" i="3" s="1"/>
  <c r="C135" i="3"/>
  <c r="D135" i="3"/>
  <c r="C151" i="3"/>
  <c r="D151" i="3"/>
  <c r="C117" i="3"/>
  <c r="D117" i="3"/>
  <c r="C124" i="3"/>
  <c r="D124" i="3"/>
  <c r="C159" i="3"/>
  <c r="D159" i="3"/>
  <c r="C52" i="3"/>
  <c r="D52" i="3"/>
  <c r="C59" i="3"/>
  <c r="D59" i="3"/>
  <c r="C72" i="3"/>
  <c r="D72" i="3"/>
  <c r="C84" i="3"/>
  <c r="D84" i="3"/>
  <c r="C97" i="3"/>
  <c r="D97" i="3"/>
  <c r="C103" i="3"/>
  <c r="D103" i="3"/>
  <c r="C109" i="3"/>
  <c r="D109" i="3"/>
  <c r="C21" i="3"/>
  <c r="D21" i="3"/>
  <c r="C25" i="3"/>
  <c r="D25" i="3"/>
  <c r="C42" i="3"/>
  <c r="D42" i="3"/>
  <c r="C7" i="2"/>
  <c r="E7" i="2" s="1"/>
  <c r="D7" i="2"/>
  <c r="C13" i="2"/>
  <c r="D13" i="2"/>
  <c r="C25" i="2"/>
  <c r="E25" i="2" s="1"/>
  <c r="D25" i="2"/>
  <c r="C37" i="2"/>
  <c r="E37" i="2" s="1"/>
  <c r="D37" i="2"/>
  <c r="C51" i="2"/>
  <c r="D51" i="2"/>
  <c r="E51" i="2" s="1"/>
  <c r="C63" i="2"/>
  <c r="E63" i="2" s="1"/>
  <c r="D63" i="2"/>
  <c r="C69" i="2"/>
  <c r="D69" i="2"/>
  <c r="C91" i="2"/>
  <c r="D91" i="2"/>
  <c r="E91" i="2"/>
  <c r="C102" i="2"/>
  <c r="E102" i="2" s="1"/>
  <c r="D102" i="2"/>
  <c r="C109" i="2"/>
  <c r="D109" i="2"/>
  <c r="C130" i="2"/>
  <c r="E130" i="2" s="1"/>
  <c r="D130" i="2"/>
  <c r="C144" i="2"/>
  <c r="D144" i="2"/>
  <c r="C152" i="2"/>
  <c r="D152" i="2"/>
  <c r="E152" i="2"/>
  <c r="C172" i="2"/>
  <c r="E172" i="2" s="1"/>
  <c r="D172" i="2"/>
  <c r="C177" i="2"/>
  <c r="D177" i="2"/>
  <c r="C180" i="2"/>
  <c r="D180" i="2"/>
  <c r="C186" i="2"/>
  <c r="D186" i="2"/>
  <c r="E186" i="2" s="1"/>
  <c r="C229" i="2"/>
  <c r="D229" i="2"/>
  <c r="C253" i="2"/>
  <c r="D253" i="2"/>
  <c r="C261" i="2"/>
  <c r="D261" i="2"/>
  <c r="C270" i="2"/>
  <c r="E270" i="2" s="1"/>
  <c r="D270" i="2"/>
  <c r="C297" i="2"/>
  <c r="D297" i="2"/>
  <c r="E297" i="2"/>
  <c r="C302" i="2"/>
  <c r="D302" i="2"/>
  <c r="E302" i="2"/>
  <c r="C319" i="2"/>
  <c r="E319" i="2" s="1"/>
  <c r="D319" i="2"/>
  <c r="C322" i="2"/>
  <c r="D322" i="2"/>
  <c r="A6" i="2"/>
  <c r="A10" i="2" s="1"/>
  <c r="A11" i="2"/>
  <c r="A12" i="2"/>
  <c r="A16" i="2" s="1"/>
  <c r="A17" i="2" s="1"/>
  <c r="A18" i="2" s="1"/>
  <c r="A19" i="2" s="1"/>
  <c r="A20" i="2" s="1"/>
  <c r="A21" i="2" s="1"/>
  <c r="A22" i="2" s="1"/>
  <c r="A23" i="2" s="1"/>
  <c r="A24" i="2" s="1"/>
  <c r="A28" i="2" s="1"/>
  <c r="A29" i="2" s="1"/>
  <c r="A30" i="2" s="1"/>
  <c r="A31" i="2" s="1"/>
  <c r="A32" i="2" s="1"/>
  <c r="A33" i="2" s="1"/>
  <c r="A34" i="2" s="1"/>
  <c r="A35" i="2" s="1"/>
  <c r="A36" i="2" s="1"/>
  <c r="A41" i="2" s="1"/>
  <c r="A42" i="2" s="1"/>
  <c r="A43" i="2" s="1"/>
  <c r="A44" i="2" s="1"/>
  <c r="A45" i="2" s="1"/>
  <c r="A46" i="2" s="1"/>
  <c r="A47" i="2" s="1"/>
  <c r="A48" i="2" s="1"/>
  <c r="A49" i="2" s="1"/>
  <c r="A50" i="2" s="1"/>
  <c r="A53" i="2" s="1"/>
  <c r="A54" i="2" s="1"/>
  <c r="A55" i="2" s="1"/>
  <c r="A56" i="2" s="1"/>
  <c r="A57" i="2" s="1"/>
  <c r="A58" i="2" s="1"/>
  <c r="A59" i="2" s="1"/>
  <c r="A60" i="2" s="1"/>
  <c r="A61" i="2" s="1"/>
  <c r="A62" i="2" s="1"/>
  <c r="A65" i="2" s="1"/>
  <c r="A66" i="2" s="1"/>
  <c r="A67" i="2" s="1"/>
  <c r="A68" i="2" s="1"/>
  <c r="A74" i="2" s="1"/>
  <c r="A75" i="2" s="1"/>
  <c r="A76" i="2" s="1"/>
  <c r="A77" i="2" s="1"/>
  <c r="A78" i="2" s="1"/>
  <c r="A79" i="2" s="1"/>
  <c r="A80" i="2" s="1"/>
  <c r="A81" i="2" s="1"/>
  <c r="A82" i="2" s="1"/>
  <c r="A83" i="2" s="1"/>
  <c r="A84" i="2" s="1"/>
  <c r="A85" i="2" s="1"/>
  <c r="A86" i="2" s="1"/>
  <c r="A87" i="2" s="1"/>
  <c r="A88" i="2" s="1"/>
  <c r="A89" i="2" s="1"/>
  <c r="A90" i="2" s="1"/>
  <c r="A93" i="2" s="1"/>
  <c r="A94" i="2" s="1"/>
  <c r="A95" i="2" s="1"/>
  <c r="A96" i="2" s="1"/>
  <c r="A97" i="2" s="1"/>
  <c r="A98" i="2" s="1"/>
  <c r="A99" i="2" s="1"/>
  <c r="A100" i="2" s="1"/>
  <c r="A101" i="2" s="1"/>
  <c r="A104" i="2" s="1"/>
  <c r="A105" i="2" s="1"/>
  <c r="A106" i="2" s="1"/>
  <c r="A107" i="2" s="1"/>
  <c r="A108" i="2" s="1"/>
  <c r="A111" i="2" s="1"/>
  <c r="A112" i="2" s="1"/>
  <c r="A113" i="2" s="1"/>
  <c r="A114" i="2" s="1"/>
  <c r="A115" i="2" s="1"/>
  <c r="A116" i="2" s="1"/>
  <c r="A117" i="2" s="1"/>
  <c r="A118" i="2" s="1"/>
  <c r="A122" i="2" s="1"/>
  <c r="A123" i="2" s="1"/>
  <c r="A124" i="2" s="1"/>
  <c r="A125" i="2" s="1"/>
  <c r="A126" i="2" s="1"/>
  <c r="A127" i="2" s="1"/>
  <c r="A128" i="2" s="1"/>
  <c r="A129" i="2" s="1"/>
  <c r="A132" i="2" s="1"/>
  <c r="A133" i="2" s="1"/>
  <c r="A134" i="2" s="1"/>
  <c r="A135" i="2" s="1"/>
  <c r="D313" i="2"/>
  <c r="D314" i="2"/>
  <c r="D315" i="2"/>
  <c r="D316" i="2"/>
  <c r="D317" i="2"/>
  <c r="D318" i="2"/>
  <c r="D258" i="2"/>
  <c r="D259" i="2"/>
  <c r="D248" i="2"/>
  <c r="D249" i="2"/>
  <c r="D250" i="2"/>
  <c r="D251" i="2"/>
  <c r="D252" i="2"/>
  <c r="D241" i="2"/>
  <c r="D242" i="2"/>
  <c r="D237" i="2"/>
  <c r="D238" i="2"/>
  <c r="D239" i="2"/>
  <c r="D240" i="2"/>
  <c r="D224" i="2"/>
  <c r="D225" i="2"/>
  <c r="D226" i="2"/>
  <c r="D227" i="2"/>
  <c r="D228" i="2"/>
  <c r="D217" i="2"/>
  <c r="D211" i="2"/>
  <c r="D212" i="2"/>
  <c r="D213" i="2"/>
  <c r="D214" i="2"/>
  <c r="D215" i="2"/>
  <c r="D216" i="2"/>
  <c r="D202" i="2"/>
  <c r="D196" i="2"/>
  <c r="D179" i="2"/>
  <c r="D176" i="2"/>
  <c r="D175" i="2"/>
  <c r="D174" i="2"/>
  <c r="D166" i="2"/>
  <c r="D167" i="2"/>
  <c r="D168" i="2"/>
  <c r="D169" i="2"/>
  <c r="D170" i="2"/>
  <c r="D149" i="2"/>
  <c r="D137" i="2"/>
  <c r="D138" i="2"/>
  <c r="D136" i="2"/>
  <c r="D135" i="2"/>
  <c r="D134" i="2"/>
  <c r="D133" i="2"/>
  <c r="D132" i="2"/>
  <c r="D126" i="2"/>
  <c r="D127" i="2"/>
  <c r="D128" i="2"/>
  <c r="D129" i="2"/>
  <c r="D122" i="2"/>
  <c r="D123" i="2"/>
  <c r="D124" i="2"/>
  <c r="D125" i="2"/>
  <c r="D105" i="2"/>
  <c r="D106" i="2"/>
  <c r="D94" i="2"/>
  <c r="D95" i="2"/>
  <c r="D96" i="2"/>
  <c r="D97" i="2"/>
  <c r="D98" i="2"/>
  <c r="D99" i="2"/>
  <c r="D100" i="2"/>
  <c r="D101" i="2"/>
  <c r="D80" i="2"/>
  <c r="D81" i="2"/>
  <c r="D82" i="2"/>
  <c r="D83" i="2"/>
  <c r="D84" i="2"/>
  <c r="D85" i="2"/>
  <c r="D86" i="2"/>
  <c r="D87" i="2"/>
  <c r="D88" i="2"/>
  <c r="D89" i="2"/>
  <c r="D90" i="2"/>
  <c r="D56" i="2"/>
  <c r="D21" i="2"/>
  <c r="D22" i="2"/>
  <c r="D321" i="2"/>
  <c r="D312" i="2"/>
  <c r="D311" i="2"/>
  <c r="D310" i="2"/>
  <c r="D309" i="2"/>
  <c r="D308" i="2"/>
  <c r="D307" i="2"/>
  <c r="D306" i="2"/>
  <c r="D305" i="2"/>
  <c r="D301" i="2"/>
  <c r="D296" i="2"/>
  <c r="D295" i="2"/>
  <c r="D294" i="2"/>
  <c r="D293" i="2"/>
  <c r="D289" i="2"/>
  <c r="D288" i="2"/>
  <c r="D287" i="2"/>
  <c r="D286" i="2"/>
  <c r="D285" i="2"/>
  <c r="D284" i="2"/>
  <c r="D283" i="2"/>
  <c r="D282" i="2"/>
  <c r="D281" i="2"/>
  <c r="D275" i="2"/>
  <c r="D274" i="2"/>
  <c r="D273" i="2"/>
  <c r="D272" i="2"/>
  <c r="D269" i="2"/>
  <c r="D268" i="2"/>
  <c r="D267" i="2"/>
  <c r="D266" i="2"/>
  <c r="D263" i="2"/>
  <c r="D260" i="2"/>
  <c r="D257" i="2"/>
  <c r="D256" i="2"/>
  <c r="D247" i="2"/>
  <c r="D244" i="2"/>
  <c r="D243" i="2"/>
  <c r="D236" i="2"/>
  <c r="D235" i="2"/>
  <c r="D223" i="2"/>
  <c r="D222" i="2"/>
  <c r="D221" i="2"/>
  <c r="D220" i="2"/>
  <c r="D210" i="2"/>
  <c r="D209" i="2"/>
  <c r="D208" i="2"/>
  <c r="D207" i="2"/>
  <c r="D201" i="2"/>
  <c r="D200" i="2"/>
  <c r="D199" i="2"/>
  <c r="D198" i="2"/>
  <c r="D197" i="2"/>
  <c r="D195" i="2"/>
  <c r="D194" i="2"/>
  <c r="D191" i="2"/>
  <c r="D190" i="2"/>
  <c r="D189" i="2"/>
  <c r="D188" i="2"/>
  <c r="D185" i="2"/>
  <c r="D184" i="2"/>
  <c r="D183" i="2"/>
  <c r="D171" i="2"/>
  <c r="D165" i="2"/>
  <c r="D164" i="2"/>
  <c r="D163" i="2"/>
  <c r="D162" i="2"/>
  <c r="D158" i="2"/>
  <c r="D157" i="2"/>
  <c r="D156" i="2"/>
  <c r="D155" i="2"/>
  <c r="D154" i="2"/>
  <c r="D151" i="2"/>
  <c r="D150" i="2"/>
  <c r="D148" i="2"/>
  <c r="D147" i="2"/>
  <c r="D146" i="2"/>
  <c r="D143" i="2"/>
  <c r="D118" i="2"/>
  <c r="D115" i="2"/>
  <c r="D114" i="2"/>
  <c r="D113" i="2"/>
  <c r="D112" i="2"/>
  <c r="D111" i="2"/>
  <c r="D108" i="2"/>
  <c r="D107" i="2"/>
  <c r="D104" i="2"/>
  <c r="D93" i="2"/>
  <c r="D79" i="2"/>
  <c r="D78" i="2"/>
  <c r="D77" i="2"/>
  <c r="D76" i="2"/>
  <c r="D74" i="2"/>
  <c r="D68" i="2"/>
  <c r="D67" i="2"/>
  <c r="D66" i="2"/>
  <c r="D65" i="2"/>
  <c r="D62" i="2"/>
  <c r="D61" i="2"/>
  <c r="D60" i="2"/>
  <c r="D59" i="2"/>
  <c r="D58" i="2"/>
  <c r="D57" i="2"/>
  <c r="D55" i="2"/>
  <c r="D54" i="2"/>
  <c r="D53" i="2"/>
  <c r="D50" i="2"/>
  <c r="D49" i="2"/>
  <c r="D48" i="2"/>
  <c r="D47" i="2"/>
  <c r="D46" i="2"/>
  <c r="D45" i="2"/>
  <c r="D44" i="2"/>
  <c r="D43" i="2"/>
  <c r="D42" i="2"/>
  <c r="D41" i="2"/>
  <c r="D36" i="2"/>
  <c r="D35" i="2"/>
  <c r="D34" i="2"/>
  <c r="D33" i="2"/>
  <c r="D32" i="2"/>
  <c r="D31" i="2"/>
  <c r="D30" i="2"/>
  <c r="D29" i="2"/>
  <c r="D28" i="2"/>
  <c r="D24" i="2"/>
  <c r="D23" i="2"/>
  <c r="D20" i="2"/>
  <c r="D19" i="2"/>
  <c r="D18" i="2"/>
  <c r="D17" i="2"/>
  <c r="D16" i="2"/>
  <c r="D12" i="2"/>
  <c r="D11" i="2"/>
  <c r="D10" i="2"/>
  <c r="D503" i="1"/>
  <c r="D504" i="1"/>
  <c r="D505" i="1"/>
  <c r="D506" i="1"/>
  <c r="D507" i="1"/>
  <c r="D508" i="1"/>
  <c r="D509" i="1"/>
  <c r="D510" i="1"/>
  <c r="D511" i="1"/>
  <c r="D512" i="1"/>
  <c r="D513" i="1"/>
  <c r="D495" i="1"/>
  <c r="D496" i="1"/>
  <c r="D497" i="1"/>
  <c r="D498" i="1"/>
  <c r="D487" i="1"/>
  <c r="D488" i="1"/>
  <c r="D489" i="1"/>
  <c r="D490" i="1"/>
  <c r="D471" i="1"/>
  <c r="D472" i="1"/>
  <c r="D473" i="1"/>
  <c r="D474" i="1"/>
  <c r="D475" i="1"/>
  <c r="D476" i="1"/>
  <c r="D477" i="1"/>
  <c r="D478" i="1"/>
  <c r="D479" i="1"/>
  <c r="D480" i="1"/>
  <c r="D481" i="1"/>
  <c r="D482" i="1"/>
  <c r="D483" i="1"/>
  <c r="D459" i="1"/>
  <c r="D460" i="1"/>
  <c r="D461" i="1"/>
  <c r="D462" i="1"/>
  <c r="D463" i="1"/>
  <c r="D453" i="1"/>
  <c r="D454" i="1"/>
  <c r="D455" i="1"/>
  <c r="D441" i="1"/>
  <c r="D442" i="1"/>
  <c r="D443" i="1"/>
  <c r="D444" i="1"/>
  <c r="D445" i="1"/>
  <c r="D446" i="1"/>
  <c r="D447" i="1"/>
  <c r="D448" i="1"/>
  <c r="D429" i="1"/>
  <c r="D430" i="1"/>
  <c r="D431" i="1"/>
  <c r="D432" i="1"/>
  <c r="D433" i="1"/>
  <c r="D434" i="1"/>
  <c r="D411" i="1"/>
  <c r="D412" i="1"/>
  <c r="D413" i="1"/>
  <c r="D414" i="1"/>
  <c r="D415" i="1"/>
  <c r="D416" i="1"/>
  <c r="D417" i="1"/>
  <c r="D403" i="1"/>
  <c r="D404" i="1"/>
  <c r="D405" i="1"/>
  <c r="D406" i="1"/>
  <c r="D390" i="1"/>
  <c r="D391" i="1"/>
  <c r="D392" i="1"/>
  <c r="D393" i="1"/>
  <c r="D394" i="1"/>
  <c r="D395" i="1"/>
  <c r="D362" i="1"/>
  <c r="D363" i="1"/>
  <c r="D364" i="1"/>
  <c r="D365" i="1"/>
  <c r="D366" i="1"/>
  <c r="D367" i="1"/>
  <c r="D368" i="1"/>
  <c r="D369" i="1"/>
  <c r="D370" i="1"/>
  <c r="D371" i="1"/>
  <c r="D372" i="1"/>
  <c r="D348" i="1"/>
  <c r="D349" i="1"/>
  <c r="D350" i="1"/>
  <c r="D351" i="1"/>
  <c r="D352" i="1"/>
  <c r="D353" i="1"/>
  <c r="D354" i="1"/>
  <c r="D355" i="1"/>
  <c r="D356" i="1"/>
  <c r="D357" i="1"/>
  <c r="D338" i="1"/>
  <c r="D339" i="1"/>
  <c r="D340" i="1"/>
  <c r="D341" i="1"/>
  <c r="D342" i="1"/>
  <c r="D343" i="1"/>
  <c r="D344" i="1"/>
  <c r="C345" i="1"/>
  <c r="D345" i="1"/>
  <c r="D330" i="1"/>
  <c r="D331" i="1"/>
  <c r="D332" i="1"/>
  <c r="D333" i="1"/>
  <c r="D334" i="1"/>
  <c r="D316" i="1"/>
  <c r="D317" i="1"/>
  <c r="D318" i="1"/>
  <c r="D319" i="1"/>
  <c r="D320" i="1"/>
  <c r="D307" i="1"/>
  <c r="D308" i="1"/>
  <c r="D309" i="1"/>
  <c r="D310" i="1"/>
  <c r="D311" i="1"/>
  <c r="D312" i="1"/>
  <c r="D296" i="1"/>
  <c r="D297" i="1"/>
  <c r="D298" i="1"/>
  <c r="D299" i="1"/>
  <c r="D300" i="1"/>
  <c r="D301" i="1"/>
  <c r="D302" i="1"/>
  <c r="D303" i="1"/>
  <c r="D283" i="1"/>
  <c r="D284" i="1"/>
  <c r="D285" i="1"/>
  <c r="D286" i="1"/>
  <c r="D287" i="1"/>
  <c r="D288" i="1"/>
  <c r="D289" i="1"/>
  <c r="D290" i="1"/>
  <c r="D291" i="1"/>
  <c r="D292" i="1"/>
  <c r="D262" i="1"/>
  <c r="D263" i="1"/>
  <c r="D264" i="1"/>
  <c r="D265" i="1"/>
  <c r="D266" i="1"/>
  <c r="D267" i="1"/>
  <c r="D268" i="1"/>
  <c r="D254" i="1"/>
  <c r="D255" i="1"/>
  <c r="D256" i="1"/>
  <c r="D257" i="1"/>
  <c r="D246" i="1"/>
  <c r="D247" i="1"/>
  <c r="D248" i="1"/>
  <c r="D249" i="1"/>
  <c r="D250" i="1"/>
  <c r="C251" i="1"/>
  <c r="D251" i="1"/>
  <c r="D230" i="1"/>
  <c r="D231" i="1"/>
  <c r="D232" i="1"/>
  <c r="D233" i="1"/>
  <c r="D234" i="1"/>
  <c r="D235" i="1"/>
  <c r="D236" i="1"/>
  <c r="D237" i="1"/>
  <c r="D238" i="1"/>
  <c r="D239" i="1"/>
  <c r="D240" i="1"/>
  <c r="D241" i="1"/>
  <c r="D220" i="1"/>
  <c r="D221" i="1"/>
  <c r="D222" i="1"/>
  <c r="D223" i="1"/>
  <c r="D224" i="1"/>
  <c r="D225" i="1"/>
  <c r="D208" i="1"/>
  <c r="D209" i="1"/>
  <c r="D210" i="1"/>
  <c r="C205" i="1"/>
  <c r="D205" i="1"/>
  <c r="D188" i="1"/>
  <c r="D189" i="1"/>
  <c r="D190" i="1"/>
  <c r="C191" i="1"/>
  <c r="D191" i="1"/>
  <c r="C184" i="1"/>
  <c r="D184" i="1"/>
  <c r="D153" i="1"/>
  <c r="D154" i="1"/>
  <c r="D155" i="1"/>
  <c r="D156" i="1"/>
  <c r="D136" i="1"/>
  <c r="D137" i="1"/>
  <c r="D138" i="1"/>
  <c r="D126" i="1"/>
  <c r="D127" i="1"/>
  <c r="D128" i="1"/>
  <c r="D129" i="1"/>
  <c r="D130" i="1"/>
  <c r="C123" i="1"/>
  <c r="D123" i="1"/>
  <c r="D118" i="1"/>
  <c r="D119" i="1"/>
  <c r="D120" i="1"/>
  <c r="D121" i="1"/>
  <c r="D122" i="1"/>
  <c r="D106" i="1"/>
  <c r="D107" i="1"/>
  <c r="D108" i="1"/>
  <c r="D109" i="1"/>
  <c r="D110" i="1"/>
  <c r="D111" i="1"/>
  <c r="D112" i="1"/>
  <c r="D113" i="1"/>
  <c r="D114" i="1"/>
  <c r="D100" i="1"/>
  <c r="D101" i="1"/>
  <c r="D92" i="1"/>
  <c r="D93" i="1"/>
  <c r="D94" i="1"/>
  <c r="D80" i="1"/>
  <c r="D81" i="1"/>
  <c r="D82" i="1"/>
  <c r="D83" i="1"/>
  <c r="D84" i="1"/>
  <c r="D85" i="1"/>
  <c r="C77" i="1"/>
  <c r="D77" i="1"/>
  <c r="C63" i="1"/>
  <c r="D63" i="1"/>
  <c r="D61" i="1"/>
  <c r="D62" i="1"/>
  <c r="D21" i="1"/>
  <c r="D22" i="1"/>
  <c r="D32" i="1"/>
  <c r="D33" i="1"/>
  <c r="D34" i="1"/>
  <c r="D35" i="1"/>
  <c r="D47" i="1"/>
  <c r="D48" i="1"/>
  <c r="D49" i="1"/>
  <c r="D50" i="1"/>
  <c r="D51" i="1"/>
  <c r="D52" i="1"/>
  <c r="D53" i="1"/>
  <c r="D54" i="1"/>
  <c r="D55" i="1"/>
  <c r="D56" i="1"/>
  <c r="C57" i="1"/>
  <c r="D57" i="1"/>
  <c r="C7" i="1"/>
  <c r="D7" i="1"/>
  <c r="C13" i="1"/>
  <c r="D13" i="1"/>
  <c r="C23" i="1"/>
  <c r="E23" i="1" s="1"/>
  <c r="D23" i="1"/>
  <c r="C36" i="1"/>
  <c r="D36" i="1"/>
  <c r="C41" i="1"/>
  <c r="D41" i="1"/>
  <c r="C71" i="1"/>
  <c r="D71" i="1"/>
  <c r="C86" i="1"/>
  <c r="D86" i="1"/>
  <c r="C95" i="1"/>
  <c r="D95" i="1"/>
  <c r="C102" i="1"/>
  <c r="D102" i="1"/>
  <c r="C115" i="1"/>
  <c r="D115" i="1"/>
  <c r="C131" i="1"/>
  <c r="D131" i="1"/>
  <c r="C139" i="1"/>
  <c r="D139" i="1"/>
  <c r="C142" i="1"/>
  <c r="D142" i="1"/>
  <c r="C150" i="1"/>
  <c r="D150" i="1"/>
  <c r="C157" i="1"/>
  <c r="D157" i="1"/>
  <c r="C165" i="1"/>
  <c r="D165" i="1"/>
  <c r="C177" i="1"/>
  <c r="D177" i="1"/>
  <c r="C199" i="1"/>
  <c r="D199" i="1"/>
  <c r="C217" i="1"/>
  <c r="D217" i="1"/>
  <c r="C242" i="1"/>
  <c r="D242" i="1"/>
  <c r="C273" i="1"/>
  <c r="D273" i="1"/>
  <c r="C276" i="1"/>
  <c r="D276" i="1"/>
  <c r="C335" i="1"/>
  <c r="D335" i="1"/>
  <c r="C373" i="1"/>
  <c r="D373" i="1"/>
  <c r="C378" i="1"/>
  <c r="D378" i="1"/>
  <c r="C383" i="1"/>
  <c r="D383" i="1"/>
  <c r="C387" i="1"/>
  <c r="D387" i="1"/>
  <c r="C396" i="1"/>
  <c r="D396" i="1"/>
  <c r="C400" i="1"/>
  <c r="D400" i="1"/>
  <c r="C407" i="1"/>
  <c r="D407" i="1"/>
  <c r="C418" i="1"/>
  <c r="D418" i="1"/>
  <c r="C424" i="1"/>
  <c r="D424" i="1"/>
  <c r="C438" i="1"/>
  <c r="D438" i="1"/>
  <c r="C449" i="1"/>
  <c r="D449" i="1"/>
  <c r="C464" i="1"/>
  <c r="D464" i="1"/>
  <c r="C468" i="1"/>
  <c r="D468" i="1"/>
  <c r="C484" i="1"/>
  <c r="D484" i="1"/>
  <c r="C491" i="1"/>
  <c r="D491" i="1"/>
  <c r="C499" i="1"/>
  <c r="D499" i="1"/>
  <c r="C514" i="1"/>
  <c r="D514" i="1"/>
  <c r="C518" i="1"/>
  <c r="D518" i="1"/>
  <c r="C522" i="1"/>
  <c r="D522" i="1"/>
  <c r="D521" i="1"/>
  <c r="A6" i="1"/>
  <c r="A10" i="1"/>
  <c r="A11" i="1" s="1"/>
  <c r="A12" i="1" s="1"/>
  <c r="A16" i="1" s="1"/>
  <c r="A17" i="1" s="1"/>
  <c r="A18" i="1" s="1"/>
  <c r="A19" i="1" s="1"/>
  <c r="A20" i="1" s="1"/>
  <c r="A21" i="1" s="1"/>
  <c r="A22" i="1" s="1"/>
  <c r="A27" i="1" s="1"/>
  <c r="A28" i="1" s="1"/>
  <c r="A29" i="1" s="1"/>
  <c r="A30" i="1" s="1"/>
  <c r="A31" i="1" s="1"/>
  <c r="A32" i="1" s="1"/>
  <c r="A33" i="1" s="1"/>
  <c r="A34" i="1" s="1"/>
  <c r="A35" i="1" s="1"/>
  <c r="A39" i="1" s="1"/>
  <c r="A40" i="1" s="1"/>
  <c r="A46" i="1" s="1"/>
  <c r="A47" i="1" s="1"/>
  <c r="A48" i="1" s="1"/>
  <c r="A49" i="1" s="1"/>
  <c r="A50" i="1" s="1"/>
  <c r="A51" i="1" s="1"/>
  <c r="A52" i="1" s="1"/>
  <c r="A53" i="1" s="1"/>
  <c r="A54" i="1" s="1"/>
  <c r="A55" i="1" s="1"/>
  <c r="A56" i="1" s="1"/>
  <c r="A59" i="1" s="1"/>
  <c r="A60" i="1" s="1"/>
  <c r="A61" i="1" s="1"/>
  <c r="A62" i="1" s="1"/>
  <c r="A66" i="1" s="1"/>
  <c r="A67" i="1" s="1"/>
  <c r="A68" i="1" s="1"/>
  <c r="A69" i="1" s="1"/>
  <c r="A70" i="1" s="1"/>
  <c r="A73" i="1" s="1"/>
  <c r="A74" i="1" s="1"/>
  <c r="A75" i="1" s="1"/>
  <c r="A76" i="1" s="1"/>
  <c r="A79" i="1" s="1"/>
  <c r="A80" i="1" s="1"/>
  <c r="A81" i="1" s="1"/>
  <c r="A82" i="1" s="1"/>
  <c r="A83" i="1" s="1"/>
  <c r="A84" i="1" s="1"/>
  <c r="A85" i="1" s="1"/>
  <c r="A90" i="1" s="1"/>
  <c r="A91" i="1" s="1"/>
  <c r="A92" i="1" s="1"/>
  <c r="A93" i="1" s="1"/>
  <c r="A94" i="1" s="1"/>
  <c r="A97" i="1" s="1"/>
  <c r="A98" i="1" s="1"/>
  <c r="A99" i="1" s="1"/>
  <c r="A100" i="1" s="1"/>
  <c r="A101" i="1" s="1"/>
  <c r="A105" i="1" s="1"/>
  <c r="A106" i="1" s="1"/>
  <c r="A107" i="1" s="1"/>
  <c r="A108" i="1" s="1"/>
  <c r="A109" i="1" s="1"/>
  <c r="A110" i="1" s="1"/>
  <c r="A111" i="1" s="1"/>
  <c r="A112" i="1" s="1"/>
  <c r="A113" i="1" s="1"/>
  <c r="A114" i="1" s="1"/>
  <c r="A117" i="1" s="1"/>
  <c r="A118" i="1" s="1"/>
  <c r="A119" i="1" s="1"/>
  <c r="A120" i="1" s="1"/>
  <c r="A121" i="1" s="1"/>
  <c r="A122" i="1" s="1"/>
  <c r="A125" i="1" s="1"/>
  <c r="A126" i="1" s="1"/>
  <c r="A127" i="1" s="1"/>
  <c r="A128" i="1" s="1"/>
  <c r="A129" i="1" s="1"/>
  <c r="A130" i="1" s="1"/>
  <c r="A135" i="1" s="1"/>
  <c r="A136" i="1" s="1"/>
  <c r="A137" i="1" s="1"/>
  <c r="A138" i="1" s="1"/>
  <c r="A141" i="1" s="1"/>
  <c r="A144" i="1" s="1"/>
  <c r="A145" i="1" s="1"/>
  <c r="A146" i="1" s="1"/>
  <c r="A147" i="1" s="1"/>
  <c r="A148" i="1" s="1"/>
  <c r="A149" i="1" s="1"/>
  <c r="A152" i="1" s="1"/>
  <c r="A153" i="1" s="1"/>
  <c r="A154" i="1" s="1"/>
  <c r="A155" i="1" s="1"/>
  <c r="A156" i="1" s="1"/>
  <c r="A160" i="1" s="1"/>
  <c r="A161" i="1" s="1"/>
  <c r="A162" i="1" s="1"/>
  <c r="A163" i="1" s="1"/>
  <c r="A164" i="1" s="1"/>
  <c r="A167" i="1" s="1"/>
  <c r="A168" i="1" s="1"/>
  <c r="A169" i="1" s="1"/>
  <c r="A170" i="1" s="1"/>
  <c r="A171" i="1" s="1"/>
  <c r="A174" i="1" s="1"/>
  <c r="A175" i="1" s="1"/>
  <c r="A176" i="1" s="1"/>
  <c r="A179" i="1" s="1"/>
  <c r="A180" i="1" s="1"/>
  <c r="A181" i="1" s="1"/>
  <c r="A182" i="1" s="1"/>
  <c r="A183" i="1" s="1"/>
  <c r="A186" i="1" s="1"/>
  <c r="A187" i="1" s="1"/>
  <c r="A188" i="1" s="1"/>
  <c r="A189" i="1" s="1"/>
  <c r="A190" i="1" s="1"/>
  <c r="A193" i="1" s="1"/>
  <c r="A194" i="1" s="1"/>
  <c r="A195" i="1" s="1"/>
  <c r="A196" i="1" s="1"/>
  <c r="A197" i="1" s="1"/>
  <c r="A198" i="1" s="1"/>
  <c r="A202" i="1" s="1"/>
  <c r="A203" i="1" s="1"/>
  <c r="A204" i="1" s="1"/>
  <c r="A207" i="1" s="1"/>
  <c r="A208" i="1" s="1"/>
  <c r="A209" i="1" s="1"/>
  <c r="A210" i="1" s="1"/>
  <c r="A214" i="1" s="1"/>
  <c r="A215" i="1" s="1"/>
  <c r="A216" i="1" s="1"/>
  <c r="A219" i="1" s="1"/>
  <c r="A220" i="1" s="1"/>
  <c r="A221" i="1" s="1"/>
  <c r="A222" i="1" s="1"/>
  <c r="A223" i="1" s="1"/>
  <c r="A224" i="1" s="1"/>
  <c r="A225" i="1" s="1"/>
  <c r="A229" i="1" s="1"/>
  <c r="A230" i="1" s="1"/>
  <c r="A231" i="1" s="1"/>
  <c r="A232" i="1" s="1"/>
  <c r="A233" i="1" s="1"/>
  <c r="A234" i="1" s="1"/>
  <c r="A235" i="1" s="1"/>
  <c r="A236" i="1" s="1"/>
  <c r="A237" i="1" s="1"/>
  <c r="A238" i="1" s="1"/>
  <c r="A239" i="1" s="1"/>
  <c r="A240" i="1" s="1"/>
  <c r="A241" i="1" s="1"/>
  <c r="A245" i="1" s="1"/>
  <c r="A246" i="1" s="1"/>
  <c r="A247" i="1" s="1"/>
  <c r="A248" i="1" s="1"/>
  <c r="A249" i="1" s="1"/>
  <c r="A250" i="1" s="1"/>
  <c r="A253" i="1" s="1"/>
  <c r="A254" i="1" s="1"/>
  <c r="A255" i="1" s="1"/>
  <c r="A256" i="1" s="1"/>
  <c r="A257" i="1" s="1"/>
  <c r="A261" i="1" s="1"/>
  <c r="A262" i="1" s="1"/>
  <c r="A263" i="1" s="1"/>
  <c r="A264" i="1" s="1"/>
  <c r="A265" i="1" s="1"/>
  <c r="A266" i="1" s="1"/>
  <c r="A267" i="1" s="1"/>
  <c r="A268" i="1" s="1"/>
  <c r="A271" i="1" s="1"/>
  <c r="A272" i="1" s="1"/>
  <c r="A275" i="1" s="1"/>
  <c r="A279" i="1" s="1"/>
  <c r="A282" i="1" s="1"/>
  <c r="A283" i="1" s="1"/>
  <c r="A284" i="1" s="1"/>
  <c r="A285" i="1" s="1"/>
  <c r="A286" i="1" s="1"/>
  <c r="A287" i="1" s="1"/>
  <c r="A288" i="1" s="1"/>
  <c r="A289" i="1" s="1"/>
  <c r="A290" i="1" s="1"/>
  <c r="A291" i="1" s="1"/>
  <c r="A292" i="1" s="1"/>
  <c r="A295" i="1" s="1"/>
  <c r="A296" i="1" s="1"/>
  <c r="A297" i="1" s="1"/>
  <c r="A298" i="1" s="1"/>
  <c r="A299" i="1" s="1"/>
  <c r="A300" i="1" s="1"/>
  <c r="A301" i="1" s="1"/>
  <c r="A302" i="1" s="1"/>
  <c r="A303" i="1" s="1"/>
  <c r="A306" i="1" s="1"/>
  <c r="A307" i="1" s="1"/>
  <c r="A308" i="1" s="1"/>
  <c r="A309" i="1" s="1"/>
  <c r="A310" i="1" s="1"/>
  <c r="A311" i="1" s="1"/>
  <c r="A312" i="1" s="1"/>
  <c r="A315" i="1" s="1"/>
  <c r="A316" i="1" s="1"/>
  <c r="A317" i="1" s="1"/>
  <c r="A318" i="1" s="1"/>
  <c r="A319" i="1" s="1"/>
  <c r="A320" i="1" s="1"/>
  <c r="A323" i="1" s="1"/>
  <c r="A324" i="1" s="1"/>
  <c r="D520" i="1"/>
  <c r="D517" i="1"/>
  <c r="D516" i="1"/>
  <c r="D502" i="1"/>
  <c r="D494" i="1"/>
  <c r="D486" i="1"/>
  <c r="D470" i="1"/>
  <c r="D467" i="1"/>
  <c r="D458" i="1"/>
  <c r="D456" i="1"/>
  <c r="C456" i="1"/>
  <c r="D452" i="1"/>
  <c r="D440" i="1"/>
  <c r="D437" i="1"/>
  <c r="D428" i="1"/>
  <c r="D423" i="1"/>
  <c r="D420" i="1"/>
  <c r="D410" i="1"/>
  <c r="D402" i="1"/>
  <c r="D399" i="1"/>
  <c r="D398" i="1"/>
  <c r="D389" i="1"/>
  <c r="D386" i="1"/>
  <c r="D385" i="1"/>
  <c r="D382" i="1"/>
  <c r="D381" i="1"/>
  <c r="D380" i="1"/>
  <c r="D377" i="1"/>
  <c r="D376" i="1"/>
  <c r="D375" i="1"/>
  <c r="D361" i="1"/>
  <c r="D358" i="1"/>
  <c r="C358" i="1"/>
  <c r="D347" i="1"/>
  <c r="D337" i="1"/>
  <c r="D162" i="1"/>
  <c r="D163" i="1"/>
  <c r="D115" i="3"/>
  <c r="D116" i="3"/>
  <c r="D329" i="1"/>
  <c r="D324" i="1"/>
  <c r="D323" i="1"/>
  <c r="D315" i="1"/>
  <c r="D306" i="1"/>
  <c r="C293" i="1"/>
  <c r="D293" i="1"/>
  <c r="D282" i="1"/>
  <c r="D271" i="1"/>
  <c r="D261" i="1"/>
  <c r="D229" i="1"/>
  <c r="C326" i="1"/>
  <c r="D326" i="1"/>
  <c r="C211" i="1"/>
  <c r="D211" i="1"/>
  <c r="C226" i="1"/>
  <c r="D226" i="1"/>
  <c r="C269" i="1"/>
  <c r="D269" i="1"/>
  <c r="C304" i="1"/>
  <c r="D304" i="1"/>
  <c r="C313" i="1"/>
  <c r="D313" i="1"/>
  <c r="C321" i="1"/>
  <c r="D321" i="1"/>
  <c r="D325" i="1"/>
  <c r="D295" i="1"/>
  <c r="D279" i="1"/>
  <c r="D275" i="1"/>
  <c r="D272" i="1"/>
  <c r="D253" i="1"/>
  <c r="D245" i="1"/>
  <c r="D219" i="1"/>
  <c r="D216" i="1"/>
  <c r="D215" i="1"/>
  <c r="D214" i="1"/>
  <c r="D207" i="1"/>
  <c r="D204" i="1"/>
  <c r="D203" i="1"/>
  <c r="D202" i="1"/>
  <c r="D198" i="1"/>
  <c r="D197" i="1"/>
  <c r="D196" i="1"/>
  <c r="D195" i="1"/>
  <c r="D194" i="1"/>
  <c r="D193" i="1"/>
  <c r="D187" i="1"/>
  <c r="D186" i="1"/>
  <c r="D158" i="3"/>
  <c r="D154" i="3"/>
  <c r="D153" i="3"/>
  <c r="D150" i="3"/>
  <c r="D149" i="3"/>
  <c r="D137" i="3"/>
  <c r="D127" i="3"/>
  <c r="D123" i="3"/>
  <c r="D119" i="3"/>
  <c r="D114" i="3"/>
  <c r="D113" i="3"/>
  <c r="D111" i="3"/>
  <c r="D108" i="3"/>
  <c r="D106" i="3"/>
  <c r="D105" i="3"/>
  <c r="D102" i="3"/>
  <c r="D101" i="3"/>
  <c r="D100" i="3"/>
  <c r="D99" i="3"/>
  <c r="D96" i="3"/>
  <c r="D87" i="3"/>
  <c r="D78" i="3"/>
  <c r="D77" i="3"/>
  <c r="D76" i="3"/>
  <c r="D71" i="3"/>
  <c r="D70" i="3"/>
  <c r="D65" i="3"/>
  <c r="D64" i="3"/>
  <c r="D62" i="3"/>
  <c r="D61" i="3"/>
  <c r="D58" i="3"/>
  <c r="D57" i="3"/>
  <c r="D56" i="3"/>
  <c r="D55" i="3"/>
  <c r="D54" i="3"/>
  <c r="D51" i="3"/>
  <c r="D46" i="3"/>
  <c r="D45" i="3"/>
  <c r="D44" i="3"/>
  <c r="D41" i="3"/>
  <c r="D34" i="3"/>
  <c r="D33" i="3"/>
  <c r="D32" i="3"/>
  <c r="D31" i="3"/>
  <c r="D30" i="3"/>
  <c r="D29" i="3"/>
  <c r="D28" i="3"/>
  <c r="D24" i="3"/>
  <c r="D23" i="3"/>
  <c r="D16" i="3"/>
  <c r="D15" i="3"/>
  <c r="D14" i="3"/>
  <c r="D11" i="3"/>
  <c r="D10" i="3"/>
  <c r="D9" i="3"/>
  <c r="D8" i="3"/>
  <c r="D183" i="1"/>
  <c r="D182" i="1"/>
  <c r="D181" i="1"/>
  <c r="D180" i="1"/>
  <c r="D179" i="1"/>
  <c r="D176" i="1"/>
  <c r="D175" i="1"/>
  <c r="D174" i="1"/>
  <c r="D171" i="1"/>
  <c r="D170" i="1"/>
  <c r="D169" i="1"/>
  <c r="D168" i="1"/>
  <c r="D167" i="1"/>
  <c r="D164" i="1"/>
  <c r="D161" i="1"/>
  <c r="D160" i="1"/>
  <c r="D152" i="1"/>
  <c r="D145" i="1"/>
  <c r="D146" i="1"/>
  <c r="D147" i="1"/>
  <c r="D148" i="1"/>
  <c r="D149" i="1"/>
  <c r="D144" i="1"/>
  <c r="D141" i="1"/>
  <c r="D105" i="1"/>
  <c r="D91" i="1"/>
  <c r="D74" i="1"/>
  <c r="D75" i="1"/>
  <c r="D67" i="1"/>
  <c r="D68" i="1"/>
  <c r="D60" i="1"/>
  <c r="D28" i="1"/>
  <c r="D17" i="1"/>
  <c r="D18" i="1"/>
  <c r="D19" i="1"/>
  <c r="D20" i="1"/>
  <c r="D10" i="1"/>
  <c r="D11" i="1"/>
  <c r="D135" i="1"/>
  <c r="D125" i="1"/>
  <c r="D117" i="1"/>
  <c r="D99" i="1"/>
  <c r="D98" i="1"/>
  <c r="D97" i="1"/>
  <c r="D90" i="1"/>
  <c r="D79" i="1"/>
  <c r="D76" i="1"/>
  <c r="D73" i="1"/>
  <c r="D70" i="1"/>
  <c r="D69" i="1"/>
  <c r="D66" i="1"/>
  <c r="D59" i="1"/>
  <c r="D46" i="1"/>
  <c r="D40" i="1"/>
  <c r="D39" i="1"/>
  <c r="D31" i="1"/>
  <c r="D30" i="1"/>
  <c r="D29" i="1"/>
  <c r="D27" i="1"/>
  <c r="D16" i="1"/>
  <c r="D12" i="1"/>
  <c r="D6" i="1"/>
  <c r="D5" i="1"/>
  <c r="E7" i="1" l="1"/>
  <c r="E13" i="1"/>
  <c r="G41" i="1" s="1"/>
  <c r="C7" i="4" s="1"/>
  <c r="G322" i="2"/>
  <c r="I8" i="4" s="1"/>
  <c r="E322" i="2"/>
  <c r="E253" i="2"/>
  <c r="E177" i="2"/>
  <c r="E69" i="2"/>
  <c r="G69" i="2" s="1"/>
  <c r="D8" i="4" s="1"/>
  <c r="E192" i="2"/>
  <c r="E218" i="2"/>
  <c r="E59" i="3"/>
  <c r="E159" i="3"/>
  <c r="A14" i="3"/>
  <c r="A15" i="3" s="1"/>
  <c r="A16" i="3" s="1"/>
  <c r="E97" i="3"/>
  <c r="E72" i="3"/>
  <c r="E52" i="3"/>
  <c r="E21" i="3"/>
  <c r="E103" i="3"/>
  <c r="E124" i="3"/>
  <c r="E151" i="3"/>
  <c r="G212" i="3" s="1"/>
  <c r="F9" i="4" s="1"/>
  <c r="E25" i="3"/>
  <c r="E109" i="3"/>
  <c r="E84" i="3"/>
  <c r="E135" i="3"/>
  <c r="A329" i="1"/>
  <c r="A330" i="1" s="1"/>
  <c r="A331" i="1" s="1"/>
  <c r="A332" i="1" s="1"/>
  <c r="A333" i="1" s="1"/>
  <c r="A334" i="1" s="1"/>
  <c r="A337" i="1" s="1"/>
  <c r="A338" i="1" s="1"/>
  <c r="A339" i="1" s="1"/>
  <c r="A340" i="1" s="1"/>
  <c r="A341" i="1" s="1"/>
  <c r="A342" i="1" s="1"/>
  <c r="A343" i="1" s="1"/>
  <c r="A344" i="1" s="1"/>
  <c r="A347" i="1" s="1"/>
  <c r="A348" i="1" s="1"/>
  <c r="A349" i="1" s="1"/>
  <c r="A350" i="1" s="1"/>
  <c r="A351" i="1" s="1"/>
  <c r="A352" i="1" s="1"/>
  <c r="A353" i="1" s="1"/>
  <c r="A354" i="1" s="1"/>
  <c r="A355" i="1" s="1"/>
  <c r="A356" i="1" s="1"/>
  <c r="A357" i="1" s="1"/>
  <c r="A361" i="1" s="1"/>
  <c r="A362" i="1" s="1"/>
  <c r="A363" i="1" s="1"/>
  <c r="A364" i="1" s="1"/>
  <c r="A365" i="1" s="1"/>
  <c r="A366" i="1" s="1"/>
  <c r="A367" i="1" s="1"/>
  <c r="A368" i="1" s="1"/>
  <c r="A369" i="1" s="1"/>
  <c r="A370" i="1" s="1"/>
  <c r="A371" i="1" s="1"/>
  <c r="A372" i="1" s="1"/>
  <c r="A375" i="1" s="1"/>
  <c r="A376" i="1" s="1"/>
  <c r="A377" i="1" s="1"/>
  <c r="A380" i="1" s="1"/>
  <c r="A381" i="1" s="1"/>
  <c r="A382" i="1" s="1"/>
  <c r="A385" i="1" s="1"/>
  <c r="A386" i="1" s="1"/>
  <c r="A389" i="1" s="1"/>
  <c r="A390" i="1" s="1"/>
  <c r="A391" i="1" s="1"/>
  <c r="A392" i="1" s="1"/>
  <c r="A393" i="1" s="1"/>
  <c r="A394" i="1" s="1"/>
  <c r="A395" i="1" s="1"/>
  <c r="A398" i="1" s="1"/>
  <c r="A399" i="1" s="1"/>
  <c r="A402" i="1" s="1"/>
  <c r="A403" i="1" s="1"/>
  <c r="A404" i="1" s="1"/>
  <c r="A405" i="1" s="1"/>
  <c r="A406" i="1" s="1"/>
  <c r="A410" i="1" s="1"/>
  <c r="A411" i="1" s="1"/>
  <c r="A412" i="1" s="1"/>
  <c r="A413" i="1" s="1"/>
  <c r="A414" i="1" s="1"/>
  <c r="A415" i="1" s="1"/>
  <c r="A416" i="1" s="1"/>
  <c r="A417" i="1" s="1"/>
  <c r="A420" i="1" s="1"/>
  <c r="A421" i="1" s="1"/>
  <c r="A422" i="1" s="1"/>
  <c r="A423" i="1" s="1"/>
  <c r="A428" i="1" s="1"/>
  <c r="A429" i="1" s="1"/>
  <c r="A430" i="1" s="1"/>
  <c r="A431" i="1" s="1"/>
  <c r="A432" i="1" s="1"/>
  <c r="A433" i="1" s="1"/>
  <c r="A434" i="1" s="1"/>
  <c r="A437" i="1" s="1"/>
  <c r="A440" i="1" s="1"/>
  <c r="A441" i="1" s="1"/>
  <c r="A442" i="1" s="1"/>
  <c r="A443" i="1" s="1"/>
  <c r="A444" i="1" s="1"/>
  <c r="A445" i="1" s="1"/>
  <c r="A446" i="1" s="1"/>
  <c r="A447" i="1" s="1"/>
  <c r="A448" i="1" s="1"/>
  <c r="A452" i="1" s="1"/>
  <c r="A453" i="1" s="1"/>
  <c r="A454" i="1" s="1"/>
  <c r="A455" i="1" s="1"/>
  <c r="A458" i="1" s="1"/>
  <c r="A459" i="1" s="1"/>
  <c r="A460" i="1" s="1"/>
  <c r="A461" i="1" s="1"/>
  <c r="A462" i="1" s="1"/>
  <c r="A463" i="1" s="1"/>
  <c r="A467" i="1" s="1"/>
  <c r="A470" i="1" s="1"/>
  <c r="A471" i="1" s="1"/>
  <c r="A472" i="1" s="1"/>
  <c r="A473" i="1" s="1"/>
  <c r="A474" i="1" s="1"/>
  <c r="A475" i="1" s="1"/>
  <c r="A476" i="1" s="1"/>
  <c r="A477" i="1" s="1"/>
  <c r="A478" i="1" s="1"/>
  <c r="A479" i="1" s="1"/>
  <c r="A480" i="1" s="1"/>
  <c r="A481" i="1" s="1"/>
  <c r="A482" i="1" s="1"/>
  <c r="A483" i="1" s="1"/>
  <c r="A486" i="1" s="1"/>
  <c r="A487" i="1" s="1"/>
  <c r="A488" i="1" s="1"/>
  <c r="A489" i="1" s="1"/>
  <c r="A490" i="1" s="1"/>
  <c r="A494" i="1" s="1"/>
  <c r="A495" i="1" s="1"/>
  <c r="A496" i="1" s="1"/>
  <c r="A497" i="1" s="1"/>
  <c r="A498" i="1" s="1"/>
  <c r="A502" i="1" s="1"/>
  <c r="A503" i="1" s="1"/>
  <c r="A504" i="1" s="1"/>
  <c r="A505" i="1" s="1"/>
  <c r="A506" i="1" s="1"/>
  <c r="A507" i="1" s="1"/>
  <c r="A508" i="1" s="1"/>
  <c r="A509" i="1" s="1"/>
  <c r="A510" i="1" s="1"/>
  <c r="A511" i="1" s="1"/>
  <c r="A512" i="1" s="1"/>
  <c r="A513" i="1" s="1"/>
  <c r="A516" i="1" s="1"/>
  <c r="A517" i="1" s="1"/>
  <c r="A520" i="1" s="1"/>
  <c r="A521" i="1" s="1"/>
  <c r="A325" i="1"/>
  <c r="A136" i="2"/>
  <c r="A138" i="2" s="1"/>
  <c r="A143" i="2" s="1"/>
  <c r="A146" i="2" s="1"/>
  <c r="A147" i="2" s="1"/>
  <c r="A148" i="2" s="1"/>
  <c r="A149" i="2" s="1"/>
  <c r="A150" i="2" s="1"/>
  <c r="A151" i="2" s="1"/>
  <c r="A154" i="2" s="1"/>
  <c r="A155" i="2" s="1"/>
  <c r="A156" i="2" s="1"/>
  <c r="A157" i="2" s="1"/>
  <c r="A158" i="2" s="1"/>
  <c r="A162" i="2" s="1"/>
  <c r="A163" i="2" s="1"/>
  <c r="A164" i="2" s="1"/>
  <c r="A165" i="2" s="1"/>
  <c r="A166" i="2" s="1"/>
  <c r="A167" i="2" s="1"/>
  <c r="A168" i="2" s="1"/>
  <c r="A169" i="2" s="1"/>
  <c r="A170" i="2" s="1"/>
  <c r="A171" i="2" s="1"/>
  <c r="A174" i="2" s="1"/>
  <c r="A175" i="2" s="1"/>
  <c r="A176" i="2" s="1"/>
  <c r="A179" i="2" s="1"/>
  <c r="A183" i="2" s="1"/>
  <c r="A184" i="2" s="1"/>
  <c r="A185" i="2" s="1"/>
  <c r="A188" i="2" s="1"/>
  <c r="A189" i="2" s="1"/>
  <c r="A190" i="2" s="1"/>
  <c r="A191" i="2" s="1"/>
  <c r="A194" i="2" s="1"/>
  <c r="A195" i="2" s="1"/>
  <c r="A196" i="2" s="1"/>
  <c r="A197" i="2" s="1"/>
  <c r="A198" i="2" s="1"/>
  <c r="A199" i="2" s="1"/>
  <c r="A200" i="2" s="1"/>
  <c r="A201" i="2" s="1"/>
  <c r="A202" i="2" s="1"/>
  <c r="A207" i="2" s="1"/>
  <c r="A208" i="2" s="1"/>
  <c r="A209" i="2" s="1"/>
  <c r="A210" i="2" s="1"/>
  <c r="A211" i="2" s="1"/>
  <c r="A212" i="2" s="1"/>
  <c r="A213" i="2" s="1"/>
  <c r="A214" i="2" s="1"/>
  <c r="A215" i="2" s="1"/>
  <c r="A216" i="2" s="1"/>
  <c r="A217" i="2" s="1"/>
  <c r="A220" i="2" s="1"/>
  <c r="A221" i="2" s="1"/>
  <c r="A222" i="2" s="1"/>
  <c r="A223" i="2" s="1"/>
  <c r="A224" i="2" s="1"/>
  <c r="A225" i="2" s="1"/>
  <c r="A226" i="2" s="1"/>
  <c r="A227" i="2" s="1"/>
  <c r="A228" i="2" s="1"/>
  <c r="A234" i="2" s="1"/>
  <c r="A235" i="2" s="1"/>
  <c r="A236" i="2" s="1"/>
  <c r="A237" i="2" s="1"/>
  <c r="A238" i="2" s="1"/>
  <c r="A239" i="2" s="1"/>
  <c r="A240" i="2" s="1"/>
  <c r="A241" i="2" s="1"/>
  <c r="A242" i="2" s="1"/>
  <c r="A243" i="2" s="1"/>
  <c r="A244" i="2" s="1"/>
  <c r="A247" i="2" s="1"/>
  <c r="A248" i="2" s="1"/>
  <c r="A249" i="2" s="1"/>
  <c r="A250" i="2" s="1"/>
  <c r="A251" i="2" s="1"/>
  <c r="A252" i="2" s="1"/>
  <c r="A256" i="2" s="1"/>
  <c r="A257" i="2" s="1"/>
  <c r="A258" i="2" s="1"/>
  <c r="A259" i="2" s="1"/>
  <c r="A260" i="2" s="1"/>
  <c r="A263" i="2" s="1"/>
  <c r="A264" i="2" s="1"/>
  <c r="A265" i="2" s="1"/>
  <c r="A266" i="2" s="1"/>
  <c r="A267" i="2" s="1"/>
  <c r="A268" i="2" s="1"/>
  <c r="A269" i="2" s="1"/>
  <c r="A272" i="2" s="1"/>
  <c r="A273" i="2" s="1"/>
  <c r="A274" i="2" s="1"/>
  <c r="A275" i="2" s="1"/>
  <c r="A276" i="2" s="1"/>
  <c r="A277" i="2" s="1"/>
  <c r="A278" i="2" s="1"/>
  <c r="A279" i="2" s="1"/>
  <c r="A281" i="2" s="1"/>
  <c r="A282" i="2" s="1"/>
  <c r="A283" i="2" s="1"/>
  <c r="A284" i="2" s="1"/>
  <c r="A285" i="2" s="1"/>
  <c r="A286" i="2" s="1"/>
  <c r="A287" i="2" s="1"/>
  <c r="A288" i="2" s="1"/>
  <c r="A289" i="2" s="1"/>
  <c r="A290" i="2" s="1"/>
  <c r="A291" i="2" s="1"/>
  <c r="A292" i="2" s="1"/>
  <c r="A293" i="2" s="1"/>
  <c r="A294" i="2" s="1"/>
  <c r="A295" i="2" s="1"/>
  <c r="A296" i="2" s="1"/>
  <c r="A301" i="2" s="1"/>
  <c r="A304" i="2" s="1"/>
  <c r="A305" i="2" s="1"/>
  <c r="A306" i="2" s="1"/>
  <c r="A307" i="2" s="1"/>
  <c r="A308" i="2" s="1"/>
  <c r="A309" i="2" s="1"/>
  <c r="A310" i="2" s="1"/>
  <c r="A311" i="2" s="1"/>
  <c r="A312" i="2" s="1"/>
  <c r="A313" i="2" s="1"/>
  <c r="A314" i="2" s="1"/>
  <c r="A315" i="2" s="1"/>
  <c r="A316" i="2" s="1"/>
  <c r="A317" i="2" s="1"/>
  <c r="A318" i="2" s="1"/>
  <c r="A321" i="2" s="1"/>
  <c r="A137" i="2"/>
  <c r="I7" i="4"/>
  <c r="D7" i="4"/>
  <c r="F7" i="4"/>
  <c r="E7" i="4"/>
  <c r="E261" i="2"/>
  <c r="G297" i="2" s="1"/>
  <c r="H8" i="4" s="1"/>
  <c r="E144" i="2"/>
  <c r="G203" i="2" s="1"/>
  <c r="F8" i="4" s="1"/>
  <c r="E117" i="3"/>
  <c r="E6" i="3"/>
  <c r="G229" i="2"/>
  <c r="G8" i="4" s="1"/>
  <c r="E229" i="2"/>
  <c r="E109" i="2"/>
  <c r="G139" i="2" s="1"/>
  <c r="E8" i="4" s="1"/>
  <c r="E13" i="2"/>
  <c r="G37" i="2" s="1"/>
  <c r="C8" i="4" s="1"/>
  <c r="E146" i="3"/>
  <c r="E180" i="2"/>
  <c r="E42" i="3"/>
  <c r="J8" i="4" l="1"/>
  <c r="G72" i="3"/>
  <c r="H7" i="4"/>
  <c r="G424" i="1"/>
  <c r="G7" i="4" s="1"/>
  <c r="J7" i="4" s="1"/>
  <c r="D9" i="4"/>
  <c r="G146" i="3"/>
  <c r="E9" i="4" s="1"/>
  <c r="G25" i="3"/>
  <c r="C9" i="4" s="1"/>
  <c r="A17" i="3"/>
  <c r="A18" i="3" s="1"/>
  <c r="A19" i="3" s="1"/>
  <c r="A20" i="3" s="1"/>
  <c r="A23" i="3" s="1"/>
  <c r="A24" i="3" s="1"/>
  <c r="A28" i="3" s="1"/>
  <c r="A29" i="3" s="1"/>
  <c r="A30" i="3" s="1"/>
  <c r="A31" i="3" s="1"/>
  <c r="A32" i="3" s="1"/>
  <c r="A33" i="3" s="1"/>
  <c r="A34" i="3" s="1"/>
  <c r="J9" i="4" l="1"/>
  <c r="A35" i="3"/>
  <c r="A36" i="3" s="1"/>
  <c r="A37" i="3" s="1"/>
  <c r="A38" i="3" s="1"/>
  <c r="A39" i="3" s="1"/>
  <c r="A40" i="3" s="1"/>
  <c r="A41" i="3" s="1"/>
  <c r="A44" i="3" s="1"/>
  <c r="A45" i="3" s="1"/>
  <c r="A46" i="3" s="1"/>
  <c r="A47" i="3" l="1"/>
  <c r="A48" i="3" s="1"/>
  <c r="A49" i="3" s="1"/>
  <c r="A50" i="3" s="1"/>
  <c r="A51" i="3" l="1"/>
  <c r="A54" i="3" s="1"/>
  <c r="A55" i="3" s="1"/>
  <c r="A56" i="3" s="1"/>
  <c r="A57" i="3" s="1"/>
  <c r="A58" i="3" l="1"/>
  <c r="A61" i="3" s="1"/>
  <c r="A62" i="3" s="1"/>
  <c r="A63" i="3" l="1"/>
  <c r="A64" i="3" s="1"/>
  <c r="A65" i="3" s="1"/>
  <c r="A66" i="3" l="1"/>
  <c r="A67" i="3" s="1"/>
  <c r="A68" i="3" s="1"/>
  <c r="A69" i="3" s="1"/>
  <c r="A70" i="3" l="1"/>
  <c r="A71" i="3" s="1"/>
  <c r="A76" i="3" s="1"/>
  <c r="A77" i="3" s="1"/>
  <c r="A78" i="3" s="1"/>
  <c r="A79" i="3" l="1"/>
  <c r="A80" i="3" s="1"/>
  <c r="A81" i="3" l="1"/>
  <c r="A82" i="3" s="1"/>
  <c r="A83" i="3" s="1"/>
  <c r="A87" i="3" s="1"/>
  <c r="A88" i="3" l="1"/>
  <c r="A89" i="3" s="1"/>
  <c r="A90" i="3" s="1"/>
  <c r="A91" i="3" s="1"/>
  <c r="A92" i="3" s="1"/>
  <c r="A93" i="3" s="1"/>
  <c r="A94" i="3" s="1"/>
  <c r="A95" i="3" l="1"/>
  <c r="A96" i="3" s="1"/>
  <c r="A99" i="3" s="1"/>
  <c r="A101" i="3" s="1"/>
  <c r="A102" i="3" s="1"/>
  <c r="A105" i="3" l="1"/>
  <c r="A106" i="3" s="1"/>
  <c r="A108" i="3" s="1"/>
  <c r="A111" i="3" s="1"/>
  <c r="A113" i="3" s="1"/>
  <c r="A114" i="3" s="1"/>
  <c r="A115" i="3" l="1"/>
  <c r="A116" i="3" s="1"/>
  <c r="A119" i="3" s="1"/>
  <c r="A120" i="3" l="1"/>
  <c r="A121" i="3" s="1"/>
  <c r="A122" i="3" s="1"/>
  <c r="A123" i="3" s="1"/>
  <c r="A127" i="3" s="1"/>
  <c r="A128" i="3" l="1"/>
  <c r="A129" i="3" s="1"/>
  <c r="A130" i="3" s="1"/>
  <c r="A131" i="3" s="1"/>
  <c r="A132" i="3" s="1"/>
  <c r="A133" i="3" s="1"/>
  <c r="A134" i="3" s="1"/>
  <c r="A137" i="3" s="1"/>
  <c r="A138" i="3" l="1"/>
  <c r="A139" i="3" s="1"/>
  <c r="A140" i="3" s="1"/>
  <c r="A141" i="3" s="1"/>
  <c r="A142" i="3" s="1"/>
  <c r="A143" i="3" s="1"/>
  <c r="A144" i="3" l="1"/>
  <c r="A145" i="3" s="1"/>
  <c r="A149" i="3" s="1"/>
  <c r="A150" i="3" l="1"/>
  <c r="A153" i="3" s="1"/>
  <c r="A154" i="3" s="1"/>
  <c r="A155" i="3" s="1"/>
  <c r="A156" i="3" s="1"/>
  <c r="A157" i="3" s="1"/>
  <c r="A158" i="3" s="1"/>
  <c r="A161" i="3" s="1"/>
  <c r="A162" i="3" s="1"/>
  <c r="A163" i="3" s="1"/>
  <c r="A164" i="3" s="1"/>
  <c r="A165" i="3" s="1"/>
  <c r="A166" i="3" s="1"/>
  <c r="A167" i="3" s="1"/>
  <c r="A171" i="3" s="1"/>
  <c r="A172" i="3" s="1"/>
  <c r="A173" i="3" s="1"/>
  <c r="A174" i="3" s="1"/>
  <c r="A175" i="3" s="1"/>
  <c r="A176" i="3" l="1"/>
  <c r="A177" i="3" s="1"/>
  <c r="A178" i="3" s="1"/>
  <c r="A179" i="3" s="1"/>
  <c r="A180" i="3" s="1"/>
  <c r="A183" i="3" s="1"/>
  <c r="A184" i="3" s="1"/>
  <c r="A185" i="3" l="1"/>
  <c r="A188" i="3" s="1"/>
  <c r="A189" i="3" l="1"/>
  <c r="A193" i="3" s="1"/>
  <c r="A194" i="3" s="1"/>
  <c r="A195" i="3" s="1"/>
  <c r="A196" i="3" l="1"/>
  <c r="A199" i="3" s="1"/>
  <c r="A200" i="3" s="1"/>
  <c r="A201" i="3" s="1"/>
  <c r="A202" i="3" l="1"/>
  <c r="A205" i="3" s="1"/>
  <c r="A206" i="3" s="1"/>
  <c r="A207" i="3" s="1"/>
  <c r="A208" i="3" s="1"/>
  <c r="A209" i="3" s="1"/>
  <c r="A210" i="3" s="1"/>
  <c r="A211" i="3" s="1"/>
  <c r="A216" i="3" s="1"/>
  <c r="A217" i="3" s="1"/>
  <c r="A218" i="3" s="1"/>
  <c r="A219" i="3" s="1"/>
  <c r="A220" i="3" s="1"/>
  <c r="A221" i="3" l="1"/>
  <c r="A224" i="3" s="1"/>
  <c r="A225" i="3" s="1"/>
  <c r="A226" i="3" s="1"/>
  <c r="A227" i="3" s="1"/>
  <c r="A228" i="3" s="1"/>
  <c r="A229" i="3" s="1"/>
  <c r="A230" i="3" s="1"/>
  <c r="A233" i="3" s="1"/>
  <c r="A234" i="3" s="1"/>
  <c r="A235" i="3" s="1"/>
  <c r="A236" i="3" s="1"/>
  <c r="A237" i="3" s="1"/>
  <c r="A238" i="3" l="1"/>
  <c r="A239" i="3" s="1"/>
  <c r="A240" i="3" s="1"/>
  <c r="A244" i="3" s="1"/>
  <c r="A245" i="3" s="1"/>
  <c r="A248" i="3" s="1"/>
  <c r="A249" i="3" s="1"/>
  <c r="A250" i="3" s="1"/>
  <c r="A251" i="3" s="1"/>
  <c r="A252" i="3" s="1"/>
  <c r="A253" i="3" l="1"/>
  <c r="A256" i="3" s="1"/>
  <c r="A257" i="3" s="1"/>
  <c r="A258" i="3" l="1"/>
  <c r="A261" i="3" s="1"/>
  <c r="A262" i="3" s="1"/>
  <c r="A263" i="3" s="1"/>
  <c r="A264" i="3" s="1"/>
  <c r="A265" i="3" s="1"/>
  <c r="A266" i="3" s="1"/>
  <c r="A267" i="3" l="1"/>
  <c r="A268" i="3" s="1"/>
  <c r="A269" i="3" s="1"/>
  <c r="A274" i="3" s="1"/>
  <c r="A275" i="3" s="1"/>
  <c r="A276" i="3" s="1"/>
  <c r="A277" i="3" s="1"/>
  <c r="A278" i="3" s="1"/>
  <c r="A279" i="3" s="1"/>
  <c r="A280" i="3" l="1"/>
  <c r="A281" i="3" s="1"/>
  <c r="A282" i="3" s="1"/>
  <c r="A283" i="3" s="1"/>
  <c r="A286" i="3" s="1"/>
  <c r="A287" i="3" s="1"/>
  <c r="A288" i="3" s="1"/>
  <c r="A289" i="3" s="1"/>
  <c r="A290" i="3" s="1"/>
  <c r="A291" i="3" l="1"/>
  <c r="A295" i="3" s="1"/>
  <c r="A296" i="3" s="1"/>
  <c r="A297" i="3" l="1"/>
  <c r="A300" i="3" s="1"/>
  <c r="A301" i="3" s="1"/>
  <c r="A302" i="3" s="1"/>
  <c r="A303" i="3" s="1"/>
  <c r="A304" i="3" s="1"/>
  <c r="A305" i="3" s="1"/>
  <c r="A306" i="3" l="1"/>
  <c r="A307" i="3" s="1"/>
  <c r="A310" i="3" s="1"/>
  <c r="A311" i="3" l="1"/>
  <c r="A312" i="3" s="1"/>
  <c r="A313" i="3" s="1"/>
  <c r="A314" i="3" s="1"/>
  <c r="A315" i="3" s="1"/>
  <c r="A316" i="3" s="1"/>
  <c r="A317" i="3" s="1"/>
  <c r="A318" i="3" s="1"/>
  <c r="A319" i="3" s="1"/>
  <c r="A320" i="3" s="1"/>
  <c r="A321" i="3" s="1"/>
  <c r="A325" i="3" s="1"/>
  <c r="A326" i="3" l="1"/>
  <c r="A329" i="3" s="1"/>
  <c r="A330" i="3" s="1"/>
  <c r="A331" i="3" s="1"/>
  <c r="A332" i="3" s="1"/>
  <c r="A333" i="3" s="1"/>
  <c r="A334" i="3" s="1"/>
  <c r="A335" i="3" l="1"/>
  <c r="A336" i="3" s="1"/>
  <c r="A337" i="3" s="1"/>
  <c r="A338" i="3" s="1"/>
  <c r="A339" i="3" s="1"/>
  <c r="A340" i="3" s="1"/>
  <c r="A341" i="3" s="1"/>
  <c r="A344" i="3" s="1"/>
  <c r="A345" i="3" s="1"/>
  <c r="A346" i="3" s="1"/>
  <c r="A347" i="3" s="1"/>
  <c r="A348" i="3" s="1"/>
  <c r="A349" i="3" s="1"/>
</calcChain>
</file>

<file path=xl/sharedStrings.xml><?xml version="1.0" encoding="utf-8"?>
<sst xmlns="http://schemas.openxmlformats.org/spreadsheetml/2006/main" count="1259" uniqueCount="1029">
  <si>
    <t>4.2</t>
  </si>
  <si>
    <t>4.</t>
  </si>
  <si>
    <t>Comunicación</t>
  </si>
  <si>
    <t>REVISIÓN POR LA DIRECCIÓN</t>
  </si>
  <si>
    <t>4.1</t>
  </si>
  <si>
    <t>5.1</t>
  </si>
  <si>
    <t>5.2</t>
  </si>
  <si>
    <t>Enfoque al Cliente</t>
  </si>
  <si>
    <t>5.3</t>
  </si>
  <si>
    <t>Planificación</t>
  </si>
  <si>
    <t>Generalidades</t>
  </si>
  <si>
    <t>6.1</t>
  </si>
  <si>
    <t>6.2.1</t>
  </si>
  <si>
    <t>6.2</t>
  </si>
  <si>
    <t>6.2.2</t>
  </si>
  <si>
    <t>6.3</t>
  </si>
  <si>
    <t>7.1</t>
  </si>
  <si>
    <t>7.2</t>
  </si>
  <si>
    <t>Infraestructura</t>
  </si>
  <si>
    <t>4.3</t>
  </si>
  <si>
    <t>PLANIFICACIÓN</t>
  </si>
  <si>
    <t>Requisitos legales y otros requisitos</t>
  </si>
  <si>
    <t>4.4</t>
  </si>
  <si>
    <t>4.4.1</t>
  </si>
  <si>
    <t>4.4.2</t>
  </si>
  <si>
    <t>DIAGNÓSTICO DEL NIVEL DE IMPLEMENTACIÓN DEL SISTEMA INTEGRADO DE GESTIÓN</t>
  </si>
  <si>
    <t>GESTIÓN DE LA CALIDAD</t>
  </si>
  <si>
    <t>GESTIÓN MEDIOAMBIENTAL</t>
  </si>
  <si>
    <t>GESTIÓN DE LA SEGURIDAD Y SALUD EN EL TRABAJO</t>
  </si>
  <si>
    <t>GC</t>
  </si>
  <si>
    <t>GMA</t>
  </si>
  <si>
    <t>GSST</t>
  </si>
  <si>
    <t>ÍNDICE</t>
  </si>
  <si>
    <t>7.5.1</t>
  </si>
  <si>
    <t>7.5.2</t>
  </si>
  <si>
    <t>7.5.3</t>
  </si>
  <si>
    <t>Identificación y trazabilidad</t>
  </si>
  <si>
    <t>8.1</t>
  </si>
  <si>
    <t>8.2.1</t>
  </si>
  <si>
    <t>Satisfacción del cliente</t>
  </si>
  <si>
    <t>8.2.2</t>
  </si>
  <si>
    <t>8.2.3</t>
  </si>
  <si>
    <t>8.2.4</t>
  </si>
  <si>
    <t>8.3</t>
  </si>
  <si>
    <t>8.4</t>
  </si>
  <si>
    <t>8.5.1</t>
  </si>
  <si>
    <t>Se encuentran registros de acciones correctivas donde, aparte de la descripción del problema de fondo y de las medidas puestas en práctica, se haga seguimiento de la mismas.</t>
  </si>
  <si>
    <t>Existe un procedimiento documentado que regula dicha actividad.</t>
  </si>
  <si>
    <t>8.5.2</t>
  </si>
  <si>
    <t>Se toman acciones encaminadas a la solución definitiva del problema, cuando este es repetitivo o grave.</t>
  </si>
  <si>
    <t>CUMPLE</t>
  </si>
  <si>
    <t>DESARROLLADO POR</t>
  </si>
  <si>
    <t>CONTEXTO DE LA ORGANIZACIÓN</t>
  </si>
  <si>
    <t>Comprensión de la organización y su contexto</t>
  </si>
  <si>
    <t>Comprensión de las necesidades y expectativas de las partes interesadas</t>
  </si>
  <si>
    <t xml:space="preserve"> </t>
  </si>
  <si>
    <t>la organización determina las partes interesadas que son pertinentes al SGC</t>
  </si>
  <si>
    <t>La organización determina los requisitos de sus partes interesadas para el SGC</t>
  </si>
  <si>
    <t>La organización hace seguimiento y revisión de la información de sus partes interesadas y su requisitos pertinentes.</t>
  </si>
  <si>
    <t>Determinación del alcance del sistema de gestión de la calidad</t>
  </si>
  <si>
    <t>La organización determina los límites y la aplicabilidad del SGC para establecer su alcance.</t>
  </si>
  <si>
    <t>Al determinar el alcance, la organización considera:</t>
  </si>
  <si>
    <t>El alcance proporciona la justificación para cualquier requisito de esta Norma que la organización determine que no es aplicable para el alcance del SGC.</t>
  </si>
  <si>
    <t>La organización dispone y mantiene información documentada relacionada con el alcance del SGC.</t>
  </si>
  <si>
    <t>Sistema de gestión de la calidad y sus procesos</t>
  </si>
  <si>
    <t>Generalidades sobre gestión de procesos y mejora continua</t>
  </si>
  <si>
    <t>La organización debe establecer, implementar, mantener y mejorar continuamente un SGC, incluidos los procesos y sus interacciones, de acuerdo a esta norma internacional, y debe:</t>
  </si>
  <si>
    <t>a) Determinar las entradas requeridas y las salidas esperadas de estos procesos</t>
  </si>
  <si>
    <t>b) Determinar la secuencia e interacción de los procesos</t>
  </si>
  <si>
    <t>c) Determinar y aplicar los criterios y los métodos (seguimiento, medición, indicadores del desempeño)</t>
  </si>
  <si>
    <t>e) Asignar las responsabilidades y autoridades para estos procesos</t>
  </si>
  <si>
    <t>f) Abordar los riesgos y oportunidades determinados de acuerdo con los requisitos del apartado 6.1</t>
  </si>
  <si>
    <t>d) Determinar los recursos necesarios para estos procesos y asegurarse de su disponibilidad</t>
  </si>
  <si>
    <t>g) Evaluar estos procesos e implementar cualquier cambio necesario para asegurarse de que estos procesos logran los resultados previstos</t>
  </si>
  <si>
    <t>h) Mejorar los procesos y el sistema de gestión de la calidad</t>
  </si>
  <si>
    <t>Documentación de los procesos del SGC</t>
  </si>
  <si>
    <t>a) Mantener información documentada para apoya la operación de los procesos</t>
  </si>
  <si>
    <t>b) Conservar la información documentada para tener la confianza de que los procesos se realizan según lo planificado</t>
  </si>
  <si>
    <t>a) Las cuestiones externas e internas que son pertinentes.</t>
  </si>
  <si>
    <t>b) Los requisitos de las partes interesadas pertinentes.</t>
  </si>
  <si>
    <t>c) Los productos y servicios de la organización</t>
  </si>
  <si>
    <t>LIDERAZGO</t>
  </si>
  <si>
    <t>Liderazgo y compromiso</t>
  </si>
  <si>
    <t>5.1.1</t>
  </si>
  <si>
    <t>La alta dirección debe establecer, implementar y mantener una política de calidad que:</t>
  </si>
  <si>
    <t>La alta dirección debe demostrar liderazgo y compromiso con respecto al SGC:</t>
  </si>
  <si>
    <t>a) asumiendo la responsabilidad y obligación de rendir cuentas con relación a la eficacia del SGC</t>
  </si>
  <si>
    <t>b) asegurándose de que se establezcan la política y los objetivos de la calidad para el SGC, y que estos sean compatibles con el contexto y la dirección estratégica de la organización</t>
  </si>
  <si>
    <t>c) asegurándose de la integración de los requisitos del SGC en los procesos de negocio de la organización</t>
  </si>
  <si>
    <t>d) promoviendo el uso del enfoque a procesos y el pensamiento basado en riesgos</t>
  </si>
  <si>
    <t>e) asegurándose de que los recursos necesarios para el SGC estén disponibles</t>
  </si>
  <si>
    <t>f) comunicando la importancia de una gestión de la calidad eficaz y de la conformidad con los requisitos del SGC</t>
  </si>
  <si>
    <t>g) asegurándose de que el SGC logre los resultados previstos</t>
  </si>
  <si>
    <t>h) comprometiendo, dirigiendo y apoyando a las personas, para contribuir a la eficacia del SGC</t>
  </si>
  <si>
    <t>5.1.2</t>
  </si>
  <si>
    <t>La dirección debe demostrar liderazgo y compromiso con respecto al enfoque al cliente, asegurándose de que:</t>
  </si>
  <si>
    <t>a) se determinan, comprometen y se cumplen regularmente los requisitos del cliente y los legales y reglamentarios aplicables</t>
  </si>
  <si>
    <t>b) se determinan y consideran los riesgos y oportunidades que pueden afectar a la conformidad de los productos y servicios y a la capacidad de aumentar la satisfacción del cliente</t>
  </si>
  <si>
    <t>c) se mantiene el enfoque en el aumento de la satisfacción del cliente</t>
  </si>
  <si>
    <t>Política</t>
  </si>
  <si>
    <t>5.2.1</t>
  </si>
  <si>
    <t>Establecimiento de la política de la calidad</t>
  </si>
  <si>
    <t>a) sea apropiada al propósito y contexto de la organización y apoye su dirección estratégica</t>
  </si>
  <si>
    <t>b) proporcione un marco de referencia para el establecimiento de los objetivos de la calidad</t>
  </si>
  <si>
    <t>c) incluya un compromiso de cumplir requisitos aplicables</t>
  </si>
  <si>
    <t>d) incluya un compromiso de mejora continua del SGC</t>
  </si>
  <si>
    <t>5.2.2</t>
  </si>
  <si>
    <t>Comunicación de la política de la calidad</t>
  </si>
  <si>
    <t>La política de calidad debe:</t>
  </si>
  <si>
    <t>a) estar disponible y mantenerse como información documentada</t>
  </si>
  <si>
    <t>b) comunicarse, entenderse y aplicarse dentro de la organización</t>
  </si>
  <si>
    <t>estar disponible para las partes interesadas pertinentes, según corresponda</t>
  </si>
  <si>
    <t>Roles, responsabilidad y autoridades en la organización</t>
  </si>
  <si>
    <t>La alta dirección debe asegurarse de que las responsabilidades y autoridades para los roles pertinentes se asignen, se comuniquen y se entienden en toda la organización.</t>
  </si>
  <si>
    <t>La alta dirección debe asignar la responsabilidad y autoridad para:</t>
  </si>
  <si>
    <t>a) asegurarse de que el SGC es conforme con los requisitos de esta Norma Internacional</t>
  </si>
  <si>
    <t>b) asegurarse de que los procesos están generando y proporcionando las salidas previstas</t>
  </si>
  <si>
    <t>d) asegurarse de que se promueve el enfoque al cliente en toda la organización</t>
  </si>
  <si>
    <t>e) asegurarse de que la integridad del SGC se mantiene cuando se planifican e implementan cambios en el SGC.</t>
  </si>
  <si>
    <t>Acciones para abordar riesgos y oportunidades</t>
  </si>
  <si>
    <t>6.1.1</t>
  </si>
  <si>
    <t>Considerar cuestiones referidas en 4.1 y 4.2</t>
  </si>
  <si>
    <t>Al planificar el SGC, la organización debe considerar las cuestiones referidas en el apartado 4.1 y los requisitos referidos en el apartado 4.2, y determinar los riesgos y oportunidades que es necesario abordar con el fin de:</t>
  </si>
  <si>
    <t>a) asegurar que el SGC puede lograr sus resultados previstos</t>
  </si>
  <si>
    <t>b) aumentar los efectos deseables</t>
  </si>
  <si>
    <t>d) lograr la mejora</t>
  </si>
  <si>
    <t>c) prevenir o reducir efectos no deseados</t>
  </si>
  <si>
    <t>6.1.2</t>
  </si>
  <si>
    <t>La organización debe planificar:</t>
  </si>
  <si>
    <t>a) las acciones para abordar estos riesgos y oportunidades</t>
  </si>
  <si>
    <t>b) la manera de:</t>
  </si>
  <si>
    <t>2) evaluar la eficacia de estas acciones</t>
  </si>
  <si>
    <t>Las acciones tomadas para abordar los riesgos y oportunidades deber ser proporcionales al impacto potencial en la conformidad de los productos y servicios</t>
  </si>
  <si>
    <t>Objetivos de la calidad y planificación para lograrlos</t>
  </si>
  <si>
    <t>Establecer objetivos</t>
  </si>
  <si>
    <t>La organización debe establecer objetivos de la calidad para las funciones y niveles pertinentes y los procesos necesarios para el SGC.</t>
  </si>
  <si>
    <t>Los objetivos de la calidad deben:</t>
  </si>
  <si>
    <t>a) ser coherentes con la política de la calidad</t>
  </si>
  <si>
    <t>b) ser medibles</t>
  </si>
  <si>
    <t>c) tener en cuenta los requisitos aplicables</t>
  </si>
  <si>
    <t>d) ser pertinentes para la conformidad de los productos y servicios y para el aumento de la satisfacción del cliente</t>
  </si>
  <si>
    <t>e) ser objeto de seguimiento</t>
  </si>
  <si>
    <t>f) comunicarse</t>
  </si>
  <si>
    <t>g) actualizarse, según corresponda</t>
  </si>
  <si>
    <t>La organización debe mantener información documentada sobre los objetivos de la calidad</t>
  </si>
  <si>
    <t>Planificar objetivos</t>
  </si>
  <si>
    <t>Al planificar cómo lograr sus objetivos de la calidad, la organización debe determinar</t>
  </si>
  <si>
    <t>a) qué se va a hacer</t>
  </si>
  <si>
    <t>b) qué recursos se requerirán</t>
  </si>
  <si>
    <t>c) quién será responsable</t>
  </si>
  <si>
    <t>d) cuándo finalizará</t>
  </si>
  <si>
    <t>e) cómo se evaluarán los resultados</t>
  </si>
  <si>
    <t>Planificación de los cambios</t>
  </si>
  <si>
    <t>La organización debe considerar:</t>
  </si>
  <si>
    <t>a) el propósito de los cambios y sus consecuencias potenciales</t>
  </si>
  <si>
    <t>b) la integridad del sistema de gestión de la calidad</t>
  </si>
  <si>
    <t>c) la disponibilidad de los recursos</t>
  </si>
  <si>
    <t>d) la asignación o reasignación de responsabilidades y autoridades</t>
  </si>
  <si>
    <t>APOYO</t>
  </si>
  <si>
    <t>Recursos</t>
  </si>
  <si>
    <t>7.1.1</t>
  </si>
  <si>
    <t>La organización debe determinar y proporcionar los recursos necesarios para el establecimiento, implementación, mantenimiento y mejora continua del SGC.</t>
  </si>
  <si>
    <t>a) las capacidades y limitaciones de los recursos internos existentes</t>
  </si>
  <si>
    <t>b) qué se necesita obtener de los proveedores externos</t>
  </si>
  <si>
    <t>7.1.2</t>
  </si>
  <si>
    <t>Personas</t>
  </si>
  <si>
    <t>La organización debe determinar y proporcionar las personas necesarias para la implementación eficaz de su sistema de gestión de la calidad y para operación y control de sus procesos.</t>
  </si>
  <si>
    <t>7.1.3</t>
  </si>
  <si>
    <t>la organización debe determinar, proporcionar y mantener la infraestructura necesaria para la operación de sus procesos y lograr la conformidad de los productos y servicios.</t>
  </si>
  <si>
    <t>La infraestructura puede incluir:</t>
  </si>
  <si>
    <t>a) edificios y servicios asociados</t>
  </si>
  <si>
    <t>b) equipos, incluyendo hardware y software</t>
  </si>
  <si>
    <t>c) recursos de transporte</t>
  </si>
  <si>
    <t>d) tecnologías de información y comunicación</t>
  </si>
  <si>
    <t>7.1.4</t>
  </si>
  <si>
    <t>Ambiente para la operación de los procesos</t>
  </si>
  <si>
    <t>Un ambiente adecuado puede ser una combinación de factores humanos y físicos, tales como:</t>
  </si>
  <si>
    <t>a) Sociales (ambiente no discriminatorio, tranquilo, libre de conflictos)</t>
  </si>
  <si>
    <t>b) psicológicos (reducción de estrés, cuidado de las emociones, prevención del síndrome del agotamiento)</t>
  </si>
  <si>
    <t>c) físicos (temperatura, calor, humedad, iluminación, circulación de aire, higiene, ruido)</t>
  </si>
  <si>
    <t>7.1.5</t>
  </si>
  <si>
    <t>Recursos de seguimiento y medición</t>
  </si>
  <si>
    <t>7.1.5.1</t>
  </si>
  <si>
    <t>La organización debe determinar y proporcionar los recursos necesarios para asegurarse de la validez y fiabilidad de los resultados cuando se realice el seguimiento o la medición para verificar la conformidad de los productos y servicios con los requisitos.</t>
  </si>
  <si>
    <t>La organización debe asegurarse de que los recursos proporcionados:</t>
  </si>
  <si>
    <t>a) son apropiados para el tipo específico de actividades de seguimiento y medición realizadas</t>
  </si>
  <si>
    <t>b) se mantienen para asegurarse de la idoneidad continua para su propósito</t>
  </si>
  <si>
    <t>la organización debe conservar la información documentada apropiada como evidencia de que los recursos de seguimiento y medición son idóneos para su propósito.</t>
  </si>
  <si>
    <t>7.1.5.2</t>
  </si>
  <si>
    <t>Trazabilidad de las mediciones</t>
  </si>
  <si>
    <t>b) identificarse para determinar su estado</t>
  </si>
  <si>
    <t>c) protegerse contra ajustes, daño o deterioro que pudiera invalidar el estado de calibración y los posteriores resultados de la medición.</t>
  </si>
  <si>
    <t>La organización debe determinar si la validez de los resultados de medición previos se ha visto afectada de manera adversa cuando el equipo de medición se considere no apto para su propósito previsto, y debe tomar las acciones adecuadas cuando sea necesario.</t>
  </si>
  <si>
    <t>7.1.6</t>
  </si>
  <si>
    <t>Estos conocimientos deben mantenerse y ponerse a disposición en la medida que sea necesario.</t>
  </si>
  <si>
    <t>Cuando se abordan las necesidades y tendencias cambiantes, la organización debe considerar sus conocimientos actuales y determinar cómo adquirir o acceder a los conocimientos adicionales necesarios y a las actualizaciones requeridas.</t>
  </si>
  <si>
    <t>Competencia</t>
  </si>
  <si>
    <t>La organización debe:</t>
  </si>
  <si>
    <t>b) asegurarse de que estas personas sean competentes, basándose en la educación, formación o experiencia adecuadas</t>
  </si>
  <si>
    <t>c) cuando sea aplicable, tomar acciones para adquirir la competencia necesaria y evaluar la eficacia de las acciones tomadas</t>
  </si>
  <si>
    <t>conservar la información documentada apropiada como evidencia de la competencia</t>
  </si>
  <si>
    <t>7.3</t>
  </si>
  <si>
    <t>Toma de conciencia</t>
  </si>
  <si>
    <t>La organización debe asegurarse de que las personas que realizan el trabajo bajo el control de la organización tomen conciencia de:</t>
  </si>
  <si>
    <t>a) política de la calidad</t>
  </si>
  <si>
    <t>b) los objetivos de calidad pertinentes</t>
  </si>
  <si>
    <t>c) su contribución a la eficacia del SGC, incluidos los beneficios de una mejora del desempeño</t>
  </si>
  <si>
    <t>d) las implicaciones del incumplimiento de los requisitos del SGC</t>
  </si>
  <si>
    <t>7.4</t>
  </si>
  <si>
    <t>La organización debe determinar las comunicaciones internas y externas pertinentes al SGC, que incluyan:</t>
  </si>
  <si>
    <t>a) qué comunicar</t>
  </si>
  <si>
    <t>b) cuándo comunicar</t>
  </si>
  <si>
    <t>c) a quién comunicar</t>
  </si>
  <si>
    <t>d) cómo comunicar</t>
  </si>
  <si>
    <t>e) quién comunica</t>
  </si>
  <si>
    <t>7.5</t>
  </si>
  <si>
    <t>Información documentada</t>
  </si>
  <si>
    <t>El sistema de gestión de la calidad de la organización debe incluir:</t>
  </si>
  <si>
    <t>a) la información documentada requerida por esta Norma Internacional</t>
  </si>
  <si>
    <t>b) la información documentada que la organización determina como necesaria para la eficacia del sistema de gestión de la calidad</t>
  </si>
  <si>
    <t>Creación y actualización</t>
  </si>
  <si>
    <t>a) la identificación y descripción (por ejemplo, título, fecha, autor o número de referencia)</t>
  </si>
  <si>
    <t>b) el formato (por ejemplo, idioma, versión de software, gráficos) y los medios de soporte (por ejemplo, papel, electrónico)</t>
  </si>
  <si>
    <t>c) la revisión y aprobación con respecto a la conveniencia y adecuación</t>
  </si>
  <si>
    <t>Control de la información documentada</t>
  </si>
  <si>
    <t>7.5.3.1</t>
  </si>
  <si>
    <t>La información documentada requerida por el SGC y por esta Norma Internacional se debe controlar para asegurarse de que:</t>
  </si>
  <si>
    <t>a) esté disponible y sea idónea para su uso, donde y cuando se necesite</t>
  </si>
  <si>
    <t>7.5.3.2</t>
  </si>
  <si>
    <t>Disponibilidad y protección</t>
  </si>
  <si>
    <t>Gestión de la información documentada</t>
  </si>
  <si>
    <t>Para el control de la información documentada, la información debe abordar las siguientes actividades, según corresponda:</t>
  </si>
  <si>
    <t>a) distribución, acceso, recuperación y uso</t>
  </si>
  <si>
    <t>b) almacenamiento y preservación, incluida la preservación de la legibilidad</t>
  </si>
  <si>
    <t>c) control de cambios (por ejemplo, control de versión)</t>
  </si>
  <si>
    <t>d) conservación y disposición</t>
  </si>
  <si>
    <t>La información documentada de origen externo, que la organización determina como necesaria para la planificación y operación del SGC, se debe identificar, según sea apropiado, y controlar.</t>
  </si>
  <si>
    <t>La información documentada conservada como evidencia de la conformidad debe protegerse contra modificaciones no intencionadas.</t>
  </si>
  <si>
    <t>Liderazgo</t>
  </si>
  <si>
    <t>Apoyo</t>
  </si>
  <si>
    <t>Operación</t>
  </si>
  <si>
    <t>Evaluación del Desempeño</t>
  </si>
  <si>
    <t>Mejora</t>
  </si>
  <si>
    <t>OPERACIÓN</t>
  </si>
  <si>
    <t>Planificación y control operacional</t>
  </si>
  <si>
    <t>a) La identificación de los requisitos para los productos y servicios</t>
  </si>
  <si>
    <t>b) el establecimiento de criterios para:</t>
  </si>
  <si>
    <t>1) los procesos</t>
  </si>
  <si>
    <t>2) la aceptación de los productos y servicios</t>
  </si>
  <si>
    <t>c) la determinación de los recursos necesarios para lograr la  conformidad con los requisitos de los productos y servicios</t>
  </si>
  <si>
    <t>d) la implementación del control de los procesos de acuerdo con los criterios</t>
  </si>
  <si>
    <t>e) la determinación, el mantenimiento y la conservación de la información documentada en la extensión necesaria para:</t>
  </si>
  <si>
    <t>1) tener confianza en que los procesos se han llevado a cabo según lo planificado</t>
  </si>
  <si>
    <t>2) demostrar la conformidad de los productos y servicios con sus requisitos</t>
  </si>
  <si>
    <t>La organización debe controlar los cambios planificados y revisar las consecuencias de los cambios no previstos, tomando acciones para mitigar cualquier efecto adverso, según sea necesario.</t>
  </si>
  <si>
    <t>La organización debe asegurarse de que los procesos contratados externamente estén controlados (véase 8.4).</t>
  </si>
  <si>
    <t>c) informar, en particular, a la alta dirección sobre el desempeño del SGC y sobre las oportunidades de mejora (véase 10.1)</t>
  </si>
  <si>
    <t>1) integrar e implementar las acciones en sus procesos del SGC (véase 4.4)</t>
  </si>
  <si>
    <t>Cuando la organización determine la necesidad de cambios en el SGC, estos cambios se deben llevar a cabo de manera planificada (véase 4.4).</t>
  </si>
  <si>
    <t>8.2</t>
  </si>
  <si>
    <t>Requisitos para los productos y servicios</t>
  </si>
  <si>
    <t>Comunicación con el cliente</t>
  </si>
  <si>
    <t>La comunicación con el cliente debe incluir:</t>
  </si>
  <si>
    <t>a) proporcionar información relativa a los productos y servicios</t>
  </si>
  <si>
    <t>b) tratar las consultas, los contratos o lo pedidos, incluyendo los cambios</t>
  </si>
  <si>
    <t>d) manipular o controlar la propiedad del cliente</t>
  </si>
  <si>
    <t>c) obtener la retroalimentación de los clientes relativa a los productos y servicios, incluyendo las quejas de los clientes</t>
  </si>
  <si>
    <t>e) establecer los requisitos específicos para las acciones de contingencia, cuando sea pertinente</t>
  </si>
  <si>
    <t>Determinación de los requisitos para los productos y servicios</t>
  </si>
  <si>
    <t>Cuando se determinen los requisitos para los productos y servicios que se van a ofrecer a los clientes, la organización debe asegurarse de que:</t>
  </si>
  <si>
    <t>a) los requisitos para los productos y servicios se definen, incluyendo:</t>
  </si>
  <si>
    <t>1) cualquier requisito legal y reglamentario aplicable</t>
  </si>
  <si>
    <t>2) aquellos considerados necesarios para la organización</t>
  </si>
  <si>
    <t>b) la organización puede cumplir con las declaraciones acerca de los productos y servicios que ofrece.</t>
  </si>
  <si>
    <t>Revisión de los requisitos para los productos y servicios</t>
  </si>
  <si>
    <t>8.2.3.1</t>
  </si>
  <si>
    <t>Revisión de la capacidad para cumplir</t>
  </si>
  <si>
    <t>La organización debe asegurarse de que tiene la capacidad de cumplir los requisitos para los productos y servicios que se van a ofrecer a  los clientes. La organización debe llevar a cabo una revisión antes de comprometerse a suministrar productos y servicios a un cliente, para incluir:</t>
  </si>
  <si>
    <t xml:space="preserve">a) los requisitos especificados por el cliente, incluyendo los requisitos para las actividades de entrega y las posteriores a la misma </t>
  </si>
  <si>
    <t>b) los requisitos no establecidos por el cliente, pero necesarios para el uso especificado o previsto, cuando sea conocido</t>
  </si>
  <si>
    <t>c) los requisitos especificados por la organización</t>
  </si>
  <si>
    <t>d) los requisitos legales y reglamentarios aplicables a los productos y servicios</t>
  </si>
  <si>
    <t>e) las diferencias existentes entre los requisitos del contrato o pedido y los expresados previamente</t>
  </si>
  <si>
    <t>La organización debe confirmar los requisitos del cliente antes de la aceptación, cuando el cliente no proporcione una declaración documentada de sus requisitos.</t>
  </si>
  <si>
    <t>8.2.3.2</t>
  </si>
  <si>
    <t>La organización debe conservar información documentada, cuando sea aplicable:</t>
  </si>
  <si>
    <t>a) sobre los resultados de la revisión</t>
  </si>
  <si>
    <t>b) sobre cualquier requisito nuevo para los productos y servicios</t>
  </si>
  <si>
    <t>Cambios en los requisitos para los productos y servicios</t>
  </si>
  <si>
    <t>DISEÑO Y DESARROLLO DE PRODUCTOS Y SERVICIOS</t>
  </si>
  <si>
    <t>8.3.1</t>
  </si>
  <si>
    <t>La organización debe establecer, implementar y mantener un proceso de diseño y desarrollo que sea adecuado para asegurarse de la posterior provisión de productos y servicios.</t>
  </si>
  <si>
    <t>La organización debe planificar, implementar y controlar los procesos (4.4) necesarios para cumplir los requisitos para la provisión de productos y servicios, y para implementar las acciones determinadas en capítulo 6, mediante:</t>
  </si>
  <si>
    <t>8.3.2</t>
  </si>
  <si>
    <t>Planificación del diseño y desarrollo</t>
  </si>
  <si>
    <t>Al determinar las etapas y controles para el diseño y desarrollo, la organización debe considerar:</t>
  </si>
  <si>
    <t>a) las naturaleza, duración y complejidad de las actividades de diseño y desarrollo</t>
  </si>
  <si>
    <t>c) las actividades requeridas de verificación y validación del diseño y desarrollo</t>
  </si>
  <si>
    <t>d) las responsabilidades y autoridades involucradas en el proceso de diseño y desarrollo</t>
  </si>
  <si>
    <t>e) las necesidades de recursos internos y externos para el diseño y desarrollo de los productos y servicios</t>
  </si>
  <si>
    <t>f) la necesidad de controlar las interfaces entre las personas que participan activamente en el procesos de diseño y desarrollo</t>
  </si>
  <si>
    <t>g) la necesidad de la participación activa de los clientes y usuarios en el proceso de diseño y desarrollo</t>
  </si>
  <si>
    <t>h) los requisitos para la posterior provisión de productos y servicios</t>
  </si>
  <si>
    <t>i) el nivel de control del proceso de diseño y desarrollo esperado por los clientes y otras partes interesadas pertinentes</t>
  </si>
  <si>
    <t>j) la información documentada necesaria para demostrar que se han cumplido los requisitos del diseño y desarrollo</t>
  </si>
  <si>
    <t>8.3.3</t>
  </si>
  <si>
    <t>Entradas para el diseño y desarrollo</t>
  </si>
  <si>
    <t>La organización debe determinar los requisitos esenciales para los tipos específicos de productos y servicios a diseñar y desarrollar. La organización debe considerar:</t>
  </si>
  <si>
    <t>a) los requisitos funcionales y de desempeño</t>
  </si>
  <si>
    <t>b) la información proveniente de actividades previas de diseño y desarrollo similares</t>
  </si>
  <si>
    <t>c) los requisitos legales y reglamentarios</t>
  </si>
  <si>
    <t>d) normas o códigos de prácticas que la organización se ha comprometido a implementar</t>
  </si>
  <si>
    <t>e) las consecuencias potenciales de fallar debido a la naturaleza de los productos y servicios</t>
  </si>
  <si>
    <t>Las entradas deben ser adecuadas para los fines del diseño y desarrollo, estar completas y sin ambigüedades</t>
  </si>
  <si>
    <t>8.3.4</t>
  </si>
  <si>
    <t>c) Se realizan las revisiones de verificación para asegurarse de que las salidas del diseño y desarrollo cumplen los requisitos del cliente</t>
  </si>
  <si>
    <t>a) se definen los resultados a lograr</t>
  </si>
  <si>
    <t>b) se realizan las revisiones para evaluar la capacidad de los resultados del diseño y desarrollo para cumplir los requisitos de entrada</t>
  </si>
  <si>
    <t>d) se realizan las actividades de validación para asegurarse de que los productos y servicios resultantes satisfacen los requisitos para su aplicación especificada o uso previsto</t>
  </si>
  <si>
    <t>e) se toma cualquier acción necesaria sobre los problemas determinados durante las revisiones, o las actividades de verificación y validación</t>
  </si>
  <si>
    <t>f) se conserva información documentada de estas actividades</t>
  </si>
  <si>
    <t>8.3.5</t>
  </si>
  <si>
    <t>Salidas del diseño y desarrollo</t>
  </si>
  <si>
    <t>La organización debe conservar la información documentada sobre las entradas del diseño y desarrollo</t>
  </si>
  <si>
    <t>8.3.6</t>
  </si>
  <si>
    <t>Cambios del diseño y desarrollo</t>
  </si>
  <si>
    <t>La organización debe conservar información documentada sobre:</t>
  </si>
  <si>
    <t>b) los resultados de las revisiones</t>
  </si>
  <si>
    <t>c) la autorización de los cambios</t>
  </si>
  <si>
    <t>d) las acciones tomadas para prevenir los impactos adversos</t>
  </si>
  <si>
    <t>CONTROL DE LOS PROCESOS, PRODUCTOS Y SERVICIOS SUMINISTRADOS EXTERNAMENTE</t>
  </si>
  <si>
    <t>Controles del diseño y desarrollo</t>
  </si>
  <si>
    <t>8.4.1</t>
  </si>
  <si>
    <t>La organización debe asegurarse de que los productos y servicios suministrados externamente son conformes a los requisitos.</t>
  </si>
  <si>
    <t>La organización debe determinar los controles a aplicar a los procesos, productos y servicios contratados externamente cuando:</t>
  </si>
  <si>
    <t>a) los productos y servicios de proveedores externos están destinados a incorporarse dentro de los propios productos y servicios de la organización</t>
  </si>
  <si>
    <t>b) los productos y servicios son proporcionados directamente a los clientes por proveedores externos en nombre de la organización</t>
  </si>
  <si>
    <t>La organización debe determinar los criterios para la evaluación, la selección, el seguimiento del desempeño y la reevaluación de los proveedores externos, basándose en su capacidad para proporcionar procesos o productos y servicios de acuerdo con los requisitos. La organización debe conservar la información documentada de esas actividades y de cualquier acción necesaria que surja  de las evaluaciones.</t>
  </si>
  <si>
    <t>8.4.2</t>
  </si>
  <si>
    <t>Tipo y alcance del control</t>
  </si>
  <si>
    <t>8.4.3</t>
  </si>
  <si>
    <t>Información para los proveedores externos</t>
  </si>
  <si>
    <t>a) asegurarse de que los procesos suministrados externamente permanece dentro del control del SGC</t>
  </si>
  <si>
    <t>b) definir los controles que pretende aplicar a un proveedor externo y los que pretende aplicar a loas salidas resultantes</t>
  </si>
  <si>
    <t>c) tener en consideración:</t>
  </si>
  <si>
    <t>2) la eficacia de los controles aplicados por el proveedor externo</t>
  </si>
  <si>
    <t>d) determinar la verificación u otras actividades necesarias para asegurarse de que los procesos, productos y servicios suministrados externamente cumplen los requisitos</t>
  </si>
  <si>
    <t>La organización debe comunicar a los proveedores externos sus requisitos para:</t>
  </si>
  <si>
    <t>a) los procesos, productos y servicios a proporcionar</t>
  </si>
  <si>
    <t>La organización debe asegurarse de la adecuación de los requisitos antes de su comunicación al proveedor externo.</t>
  </si>
  <si>
    <t>b) la aprobación de:</t>
  </si>
  <si>
    <t>1) productos y servicios</t>
  </si>
  <si>
    <t>2) métodos, procesos y equipos</t>
  </si>
  <si>
    <t>3) la liberación de productos y servicios</t>
  </si>
  <si>
    <t>d) las interacciones del proveedor externo con la organización</t>
  </si>
  <si>
    <t>e) el control y seguimiento del desempeño del proveedor externo a aplicar por parte de la organización</t>
  </si>
  <si>
    <t>f) las actividades de verificación o validación que la organización, o su cliente, pretende llevar a cabo en las instalaciones del proveedor.</t>
  </si>
  <si>
    <t>8.5</t>
  </si>
  <si>
    <t>PRODUCCIÓN Y PROVISIÓN DE SERVICIOS</t>
  </si>
  <si>
    <t>Control de la producción y de la provisión de servicios</t>
  </si>
  <si>
    <t>La organización debe implementar la producción y provisión del servicio bajo condiciones controladas.</t>
  </si>
  <si>
    <t>Las condiciones controladas deben incluir, cuando sea aplicable:</t>
  </si>
  <si>
    <t>a) La disponibilidad de información documentada que defina:</t>
  </si>
  <si>
    <t>1) las características de los productos a producir, los servicios a prestar, las actividades a desempeñar</t>
  </si>
  <si>
    <t>2) los resultados a alcanzar</t>
  </si>
  <si>
    <t>b) la disponibilidad y el uso de los recursos de seguimiento y medición adecuados</t>
  </si>
  <si>
    <t>c) la implementación de las actividades de seguimiento y medición en las etapas apropiadas para verificar que se cumplen los criterios para el control de los procesos o sus salidas, y los criterios de aceptación para los productos y servicios</t>
  </si>
  <si>
    <t>d) el uso de la infraestructura y el entorno adecuados para la operación de los procesos</t>
  </si>
  <si>
    <t>e) la designación de personas competentes, incluyendo cualquier calificación requerida</t>
  </si>
  <si>
    <t>f) la validación y revalidación periódica de la capacidad para alcanzar los resultados planificados de los procesos de producción y de prestación del servicio, cuando las salidas resultantes no puedan verificarse mediante actividades de seguimiento o mediciones posteriores</t>
  </si>
  <si>
    <t>g) la implementación de acciones para prevenir los errores humanos</t>
  </si>
  <si>
    <t>h) la implementación de actividades de liberación, entrega y posterior a la entrega</t>
  </si>
  <si>
    <t>La organización debe utilizar los medios apropiados para identificar las salidas, cuando sea necesario, para asegurar la conformidad de los productos y servicios.</t>
  </si>
  <si>
    <t>La organización debe identificar el estado de las salidas con respecto a los requisitos de seguimiento y medición a través de la producción y prestación del servicio.</t>
  </si>
  <si>
    <t>La organización debe controlar la identificación única de las salidas cuando la trazabilidad sea un requisito, y debe conservar la información documentada necesaria para permitir la trazabilidad.</t>
  </si>
  <si>
    <t>8.5.3</t>
  </si>
  <si>
    <t>Propiedad perteneciente a los clientes o proveedores externos</t>
  </si>
  <si>
    <t>La organización debe identificar, verificar, proteger y salvaguardar la propiedad de los clientes o de los proveedores externos suministrada para su utilización o incorporación dentro de los productos y servicios.</t>
  </si>
  <si>
    <t>Cuando la propiedad de un cliente o de un proveedor externo se pierda, deteriore o de algún otro modo se considere inadecuada para su uso, la organización debe informar de eso al cliente o proveedor externo y conservar la información documentada sobre lo ocurrido.</t>
  </si>
  <si>
    <t>La organización debe cuidar la propiedad perteneciente a los clientes o proveedores externos mientras esté bajo el control de la organización o esté siendo utilizado por la misma.</t>
  </si>
  <si>
    <t>La organización debe preservar las salidas durante la producción y prestación del servicio, en la medida necesaria para asegurarse de la conformidad con los requisitos.</t>
  </si>
  <si>
    <t>Preservación</t>
  </si>
  <si>
    <t>8.5.4</t>
  </si>
  <si>
    <t>NOTA: La preservación puede incluir la identificación, la manipulación, el control de la contaminación, el embalaje, el almacenamiento, la transmisión de la información o el transporte, y la protección.</t>
  </si>
  <si>
    <t>8.5.5</t>
  </si>
  <si>
    <t>Actividades posteriores a la entrega</t>
  </si>
  <si>
    <t>La organización debe cumplir los requisitos para las actividades posteriores a la entrega asociadas con los productos y servicios.</t>
  </si>
  <si>
    <t>Al determinar el alcance de las actividades posteriores a la entrega que se requieren, la organización debe considerar:</t>
  </si>
  <si>
    <t>a) los requisitos legales y reglamentarios</t>
  </si>
  <si>
    <t>b) las consecuencias potenciales no deseadas asociadas a sus productos y servicios</t>
  </si>
  <si>
    <t>c) la naturaleza, el uso y la vida útil prevista de sus productos y servicios</t>
  </si>
  <si>
    <t>d) los requisitos del cliente</t>
  </si>
  <si>
    <t>e) la retroalimentación del cliente</t>
  </si>
  <si>
    <t>8.5.6</t>
  </si>
  <si>
    <t>Control de cambios</t>
  </si>
  <si>
    <t>La organización debe revisar y controlar los cambios para la producción o la prestación del servicio, en la extensión necesaria para asegurarse de la continuidad en la conformidad con los requisitos.</t>
  </si>
  <si>
    <t>8.6</t>
  </si>
  <si>
    <t>LIBERACIÓN DE LOS PRODUCTOS Y SERVICIOS</t>
  </si>
  <si>
    <t>La organización debe implementar las disposiciones planificadas, en las etapas adecuadas, para verificar que se cumplen los requisitos de los productos y servicios.</t>
  </si>
  <si>
    <t>La organización debe conservar la información documentada sobre la liberación de los productos y servicios, La información documentada debe incluir:</t>
  </si>
  <si>
    <t>a) evidencia de la conformidad con los criterios de aceptación</t>
  </si>
  <si>
    <t>b) trazabilidad a las personas que autorizan la liberación</t>
  </si>
  <si>
    <t>8.7</t>
  </si>
  <si>
    <t>CONTROL DE LAS SALIDAS NO CONFORMES</t>
  </si>
  <si>
    <t>8.7.1</t>
  </si>
  <si>
    <t>Identificación y control de salidas no conformes</t>
  </si>
  <si>
    <t>La organización debe asegurarse de que las salidas que no sean conformes con sus requisitos se identifican y se controlan para prevenir su uso o entrega no intencionada.</t>
  </si>
  <si>
    <t>La organización debe tomar las acciones adecuadas basándose en la naturaleza de la no conformidad y en su efecto sobre la conformidad de los productos y servicios. Esto se debe aplicar también a los productos y servicios no conformes detectados después de la entrega de los productos, durante o después de la provisión de los servicios.</t>
  </si>
  <si>
    <t>La organización debe tratar las salidas no conformes de una o más de las siguientes maneras:</t>
  </si>
  <si>
    <t>a) corrección</t>
  </si>
  <si>
    <t>b) separación, contención, devolución o suspensión de productos y servicios</t>
  </si>
  <si>
    <t>c) información al cliente</t>
  </si>
  <si>
    <t>d) obtención de autorización para su aceptación bajo concesión</t>
  </si>
  <si>
    <t>Debe verificarse la conformidad con los requisitos cuando se corrigen las salidas no conformes.</t>
  </si>
  <si>
    <t>8.7.2</t>
  </si>
  <si>
    <t>La organización debe conservar información documentada que:</t>
  </si>
  <si>
    <t>a) describa la no conformidad</t>
  </si>
  <si>
    <t>b) describa las acciones tomadas</t>
  </si>
  <si>
    <t>c) describa todas las concesiones obtenidas</t>
  </si>
  <si>
    <t>d) identifique la autoridad que decide la acción con respecto a la no conformidad</t>
  </si>
  <si>
    <t>EVALUACIÓN DEL DESEMPEÑO</t>
  </si>
  <si>
    <t>9.1</t>
  </si>
  <si>
    <t>9.1.1</t>
  </si>
  <si>
    <t>La organización debe determinar:</t>
  </si>
  <si>
    <t>a) qué necesita seguimiento y medición</t>
  </si>
  <si>
    <t>b) los métodos de seguimiento, medición, análisis y evaluación necesarios para asegurar resultados válidos</t>
  </si>
  <si>
    <t>c) cuándo se deben llevar a cabo el seguimiento y la medición</t>
  </si>
  <si>
    <t>d) cuándo se deben analizar y evaluar los resultados del seguimiento y la medición</t>
  </si>
  <si>
    <t>La organización debe evaluar el desempeño y la eficacia del sistema de gestión de la calidad</t>
  </si>
  <si>
    <t>la organización debe conservar la información documentada apropiada como evidencia de los resultados</t>
  </si>
  <si>
    <t>9.1.2</t>
  </si>
  <si>
    <t>La organización debe realizar el seguimiento de las percepciones de los clientes del grado en que se cumplen sus necesidades y expectativas. La organización debe determinar los métodos  para obtener, realizar el seguimiento y revisar esta información.</t>
  </si>
  <si>
    <t>9.1.3</t>
  </si>
  <si>
    <t>Análisis y evaluación</t>
  </si>
  <si>
    <t>La organización debe analizar y evaluar los datos y la información apropiados que surgen por el seguimiento y la medición.</t>
  </si>
  <si>
    <t>Los resultados del análisis deben utilizarse para evaluar:</t>
  </si>
  <si>
    <t>a) la conformidad de los productos y servicios</t>
  </si>
  <si>
    <t>b) el grado de satisfacción del cliente</t>
  </si>
  <si>
    <t>c) el desempeño de la eficacia del sistema de gestión de la calidad</t>
  </si>
  <si>
    <t>d) si lo planificado se ha implementado de forma eficaz</t>
  </si>
  <si>
    <t>e) la eficacia de las acciones tomadas para abordar los riesgos y oportunidades</t>
  </si>
  <si>
    <t>la necesidad de mejoras en el sistema de gestión de la calidad</t>
  </si>
  <si>
    <t>9.2</t>
  </si>
  <si>
    <t>AUDITORÍA INTERNA</t>
  </si>
  <si>
    <t>SEGUIMIENTO, MEDICIÓN, ANÁLISIS Y EVALUACIÓN</t>
  </si>
  <si>
    <t>9.2.1</t>
  </si>
  <si>
    <t>La organización debe llevar a cabo auditorías internas a intervalos planificados para proporcionar información acerca de si el sistema de gestión de la calidad:</t>
  </si>
  <si>
    <t>a) es conforme con:</t>
  </si>
  <si>
    <t>1)los requisitos propios de la organización para su sistema de gestión de la calidad</t>
  </si>
  <si>
    <t>2) los requisitos de esta Norma Internacional</t>
  </si>
  <si>
    <t>b) se implementa y mantiene eficazmente</t>
  </si>
  <si>
    <t>9.2.2</t>
  </si>
  <si>
    <t>a) planificar, establecer, implementar y mantener uno o varios programas de auditoría que incluyan la frecuencia, los métodos, las responsabilidades, los requisitos de planificación y la elaboración de informes, que deben tener en consideración la importancia de los procesos involucrados, los cambios que afecten a la organización y los resultados de las auditorías previas</t>
  </si>
  <si>
    <t>b) definir los criterios de la auditoría y el alcance para cada auditoría</t>
  </si>
  <si>
    <t>c) seleccionar los auditores y llevar a cabo auditorías para asegurarse de la objetividad y la imparcialidad del proceso de auditoría</t>
  </si>
  <si>
    <t>d) asegurarse de que los resultados de las auditorías se informen a al dirección pertinente</t>
  </si>
  <si>
    <t>e) realizar las correcciones y tomar las acciones correctivas adecuadas sin demora injustificada</t>
  </si>
  <si>
    <t>f) conservar información documentada como evidencia de la implementación del programa de auditoría y de los resultados de las auditorías</t>
  </si>
  <si>
    <t>9.3</t>
  </si>
  <si>
    <t>9.3.1</t>
  </si>
  <si>
    <t>La alta dirección debe revisar el sistema de gestión de la calidad de la organización a intervalos planificados, para asegurarse de la conveniencia, adecuación, eficacia y alineación continuas con la dirección estratégica de la organización.</t>
  </si>
  <si>
    <t>9.3.2</t>
  </si>
  <si>
    <t>Entradas de la revisión por la dirección</t>
  </si>
  <si>
    <t>a) el estado de las acciones de las revisiones por la dirección previas</t>
  </si>
  <si>
    <t>c) la información sobre el desempeño y la eficacia del SGC, incluidas tendencias relativas a:</t>
  </si>
  <si>
    <t>1) la satisfacción del cliente y la retroalimentación de las partes interesadas pertinentes</t>
  </si>
  <si>
    <t>2) el grado en que se han logrado los objetivos de la calidad</t>
  </si>
  <si>
    <t>3) el desempeño de los procesos y conformidad de los productos y servicios</t>
  </si>
  <si>
    <t>4) las no conformidades y acciones correctivas</t>
  </si>
  <si>
    <t>5) los resultados de seguimiento y medición</t>
  </si>
  <si>
    <t>6) los resultados de las auditorías</t>
  </si>
  <si>
    <t>7) el desempeño de los proveedores externos</t>
  </si>
  <si>
    <t>d) las adecuación de los recursos</t>
  </si>
  <si>
    <t>e) la eficacia de las acciones tomadas para abordar los riesgos y oportunidades (véase 6.1)</t>
  </si>
  <si>
    <t>f) las oportunidades de mejora</t>
  </si>
  <si>
    <t>9.3.3</t>
  </si>
  <si>
    <t>Salidas de la revisión por la dirección</t>
  </si>
  <si>
    <t>Las salidas de la revisión por la dirección deben incluir las decisiones y acciones relacionadas con:</t>
  </si>
  <si>
    <t>a) las oportunidades de mejora</t>
  </si>
  <si>
    <t>b) cualquier necesidad de cambio en el sistema de gestión de la calidad</t>
  </si>
  <si>
    <t>c) las necesidades de recurso</t>
  </si>
  <si>
    <t>La organización debe conservar información documentada como evidencia de los resultados de las revisiones por la dirección.</t>
  </si>
  <si>
    <t>MEJORA</t>
  </si>
  <si>
    <t>10.1</t>
  </si>
  <si>
    <t>La organización debe determinar y seleccionar las oportunidades de mejora e implementar cualquier acción necesaria para cumplir los requisitos del cliente y aumentar la satisfacción del cliente.</t>
  </si>
  <si>
    <t>Éstas deben incluir:</t>
  </si>
  <si>
    <t>a) mejorar los productos y servicios para cumplir los requisitos, así como considerar las necesidades y expectativas futuras</t>
  </si>
  <si>
    <t>b) corregir, prevenir o reducir los efectos no deseados</t>
  </si>
  <si>
    <t>c) mejorar el desempeño y la eficacia del sistema de gestión de la calidad</t>
  </si>
  <si>
    <t>10.2</t>
  </si>
  <si>
    <t>No conformidad y acción correctiva</t>
  </si>
  <si>
    <t>10.2.1</t>
  </si>
  <si>
    <t>Cuando ocurra una no conformidad, incluida cualquiera originada por quejas, la organización debe:</t>
  </si>
  <si>
    <t>a) reaccionar ante la no conformidad y, cuando sea aplicable:</t>
  </si>
  <si>
    <t>1) tomar acciones para controlarla y corregirla</t>
  </si>
  <si>
    <t>2) hacer frente a las consecuencias</t>
  </si>
  <si>
    <t>b) evaluar la necesidad de acciones para eliminar las causas de la no conformidad, con el fin de que no vuelva a ocurrir ni ocurra en otra parte, mediante:</t>
  </si>
  <si>
    <t>1) la revisión y el análisis de la no conformidad</t>
  </si>
  <si>
    <t>2) la determinación de las causas de la no conformidad</t>
  </si>
  <si>
    <t>3) la determinación de si existe no conformidades similares, o que potencialmente puedan ocurrir</t>
  </si>
  <si>
    <t>c) implementar cualquier acción necesaria</t>
  </si>
  <si>
    <t>f) si fuera necesario, hacer cambios al sistema de gestión de la calidad</t>
  </si>
  <si>
    <t>d) revisar la eficacia de cualquier acción correctiva tomada</t>
  </si>
  <si>
    <t>Las acciones correctivas deben ser apropiadas a los efectos de las no conformidades encontradas</t>
  </si>
  <si>
    <t>10.2.2</t>
  </si>
  <si>
    <t>La organización debe conservar información documentada como evidencia de:</t>
  </si>
  <si>
    <t>a) la naturaleza de las no conformidades y cualquier acción tomada posteriormente</t>
  </si>
  <si>
    <t>b) los resultados de cualquier acción correctiva</t>
  </si>
  <si>
    <t>10.3</t>
  </si>
  <si>
    <t>Mejora continua</t>
  </si>
  <si>
    <t>La organización debe considerar los resultados del análisis y la evaluación, y las salidas de la revisión por la dirección, para determinar si hay necesidades u oportunidades que se deben considerar como parte de la mejora continua.</t>
  </si>
  <si>
    <t>La organización ha determinado las cuestiones externas e internas que son pertinentes para su propósito y su dirección estratégica.</t>
  </si>
  <si>
    <t>Cuando la trazabilidad de las mediciones es un requisito, o es considerada por la organización como parte esencial para proporcionar confianza en la validez de los resultados de la medición, el equipo de medición debe:</t>
  </si>
  <si>
    <t>a) calibrarse o verificarse, o ambas, a intervalos planificados, o antes de su utilización, contra patrones de medición trazables a patrones de medición internacionales o nacionales; cuando no existan tales patrones, debe conservarse como información documentada la base utilizada para la calibración o la verificación</t>
  </si>
  <si>
    <t>Conocimientos de la organización</t>
  </si>
  <si>
    <t>La organización debe determinar los conocimientos necesarios para la operación de sus procesos y para lograr la conformidad de los productos y servicios.</t>
  </si>
  <si>
    <t>a) determinar la competencia necesaria de las personas que realizan, bajo su control, un trabajo que afecta al desempeño y eficacia del SGC</t>
  </si>
  <si>
    <t>Al crear y actualizar la información documentada, la organización debe asegurarse de que lo siguiente sea apropiado:</t>
  </si>
  <si>
    <t>b) esté protegida adecuadamente (por ejemplo, contra pérdida de confidencialidad, uso inadecuado o pérdida de integridad)</t>
  </si>
  <si>
    <t>La salida de esta planificación debe ser adecuada para las operaciones de la organización</t>
  </si>
  <si>
    <t>La organización debe asegurarse de que se resuelvan las diferencias existentes entre los requisitos del contrato o pedido y los expresados previamente.</t>
  </si>
  <si>
    <t>La organización debe asegurarse de que, cuando se cambien los requisitos para los productos y servicios, la información documentada pertinente sea modificada, y de que las personas pertinentes sean conscientes de los requisitos modificados.</t>
  </si>
  <si>
    <t>b) las etapas del proceso requerido, incluyendo las revisiones del diseño y desarrollo aplicables</t>
  </si>
  <si>
    <t>Las entradas del diseño y desarrollo contradictorias deben resolverse</t>
  </si>
  <si>
    <t>La organización debe aplicar controles al proceso de diseño y desarrollo para asegurarse de que:</t>
  </si>
  <si>
    <t>La organización debe identificar, revisar y controlar los cambios hechos durante el diseño y desarrollo de los productos y servicios, o posteriormente en la medida necesaria para asegurarse de que no haya un impacto adverso en la conformidad con los requisitos</t>
  </si>
  <si>
    <t>a) los cambios del diseño y desarrollo</t>
  </si>
  <si>
    <t>c) un proceso, o una parte de un procesos, es proporcionado por un proveedores externo como resultado de una decisión de la organización</t>
  </si>
  <si>
    <t>La organización debe asegurarse de que los procesos, productos y servicios suministrados externamente no afectan de manera adversa a la capacidad de la organización de entregar productos y servicios conformes de manera coherente a sus clientes.</t>
  </si>
  <si>
    <t>1) el impacto potencial de los procesos, productos y servicios suministrados externamente en la capacidad de la organización de cumplir regularmente los requisitos del cliente y los legales y reglamentarios aplicables</t>
  </si>
  <si>
    <t>c) la competencia, incluyendo cualquier calificación requerida de las personas</t>
  </si>
  <si>
    <t>La organización debe conservar información documentada que describa los resultados de la revisión de los cambios, las personas que autorizan el cambio y de cualquier acción necesaria que surja de la revisión.</t>
  </si>
  <si>
    <t>La liberación de los productos y servicios al cliente no debe llevarse a cabo hasta que se hayan completado satisfactoriamente las disposiciones planificadas, a menos que sea aprobado de otra manera por una autoridad pertinente y, cuando sea aplicable, por el cliente.</t>
  </si>
  <si>
    <t>el desempeño de los proveedores externos</t>
  </si>
  <si>
    <t>La revisión por la dirección debe planificarse y llevarse a cabo incluyendo consideraciones sobre:</t>
  </si>
  <si>
    <t>b) los cambios en las cuestiones externas e internas que sean pertinentes al SGC</t>
  </si>
  <si>
    <t>e) si fuera necesario, actualizar los riesgos y oportunidades determinados durante la planificación; y</t>
  </si>
  <si>
    <t>La organización debe mejorar continuamente la conveniencia, adecuación y eficacia del sistema de gestión de la calidad.</t>
  </si>
  <si>
    <t>Contexto de la Organización</t>
  </si>
  <si>
    <t>DIAGNÓSTICO PREVIO - SGC. ISO 9001:2015</t>
  </si>
  <si>
    <t>La organización hace seguimiento y revisa la información sobre estas cuestiones externas e internas.</t>
  </si>
  <si>
    <t>La organización debe determinar, proporcionar y mantener el ambiente necesario para operación de sus procesos y para lograr la conformidad de loa productos y servicios.</t>
  </si>
  <si>
    <t>La organización ha determinado las cuestiones externas e internas que son pertinentes para su propósito y que afectan su capacidad para lograr los resultados previstos del SGA.</t>
  </si>
  <si>
    <t>la organización determina las partes interesadas que son pertinentes al SGA</t>
  </si>
  <si>
    <t>La organización determina las necesidades y expectativas (es decir, requisitos) de estas partes interesadas</t>
  </si>
  <si>
    <t>La organización determina cuáles de estas necesidades y expectativas se convierten en requisitos legales y otros requisitos</t>
  </si>
  <si>
    <t>Determinación del alcance del sistema de gestión ambiental</t>
  </si>
  <si>
    <t>La organización determina los límites y la aplicabilidad del SGA para establecer su alcance.</t>
  </si>
  <si>
    <t>a) Las cuestiones externas e internas a que se hace referencia en el apartado 4.1</t>
  </si>
  <si>
    <t>b) Los requisitos de las partes interesadas pertinentes, referido en el apartado 4.2</t>
  </si>
  <si>
    <t>c) Las unidades, funciones y límites físicos de la organización</t>
  </si>
  <si>
    <t>d) sus actividades, productos y servicios</t>
  </si>
  <si>
    <t>e) su autoridad y capacidad para ejercer control e influencia</t>
  </si>
  <si>
    <t>La organización dispone y mantiene información documentada  y debe estar disponible para las partes interesadas.</t>
  </si>
  <si>
    <t>Una vez que se defina el alcance, se deben incluir en el SGA todas las actividades, productos y servicios de la organización que estén dentro de este alcance.</t>
  </si>
  <si>
    <t>La organización debe establecer, implementar, mantener y mejorar continuamente un SGA, incluidos los procesos y sus interacciones, de acuerdo a esta norma internacional, y debe:</t>
  </si>
  <si>
    <t>h) Mejorar los procesos y el sistema de gestión ambiental</t>
  </si>
  <si>
    <t>Al establecer y mantener el SGA, la organización debe considerar el conocimiento obtenido en los apartados 4.1 y 4.2</t>
  </si>
  <si>
    <t>La alta dirección debe demostrar liderazgo y compromiso con respecto al SGA:</t>
  </si>
  <si>
    <t>a) asumiendo la responsabilidad y obligación de rendir cuentas con relación a la eficacia del SGA</t>
  </si>
  <si>
    <t>b) asegurándose de que se establezcan la política y los objetivos ambientales para el SGA, y que estos sean compatibles con el contexto y la dirección estratégica de la organización</t>
  </si>
  <si>
    <t>c) asegurándose de la integración de los requisitos del SGA en los procesos de negocio de la organización</t>
  </si>
  <si>
    <t>DIAGNÓSTICO PREVIO - SGA. ISO 14001:2015</t>
  </si>
  <si>
    <t>a) asegurarse de que el SGA es conforme con los requisitos de esta Norma Internacional</t>
  </si>
  <si>
    <t>La información documentada requerida por el SGA y por esta Norma Internacional se debe controlar para asegurarse de que:</t>
  </si>
  <si>
    <t>La información documentada de origen externo, que la organización determina como necesaria para la planificación y operación del SGA, se debe identificar, según sea apropiado, y controlar.</t>
  </si>
  <si>
    <t>d) asegurándose de que los recursos necesarios para el SGA estén disponibles</t>
  </si>
  <si>
    <t>e) comunicando la importancia de una gestión ambiental eficaz y conforme con los requisitos del SGA</t>
  </si>
  <si>
    <t>f) asegurándose de que el SGA logre los resultados previstos</t>
  </si>
  <si>
    <t>g) comprometiendo, dirigiendo y apoyando a las personas, para contribuir a la eficacia del SGA</t>
  </si>
  <si>
    <t>h) Promoviendo la mejora continua</t>
  </si>
  <si>
    <t>i) apoyando otros roles pertinentes de la dirección, para demostrar su liderazgo en la forma en la que aplique a sus áreas de responsabilidad</t>
  </si>
  <si>
    <t>i) Promoviendo la mejora</t>
  </si>
  <si>
    <t>j) apoyando otros roles pertinentes de la dirección, para demostrar su liderazgo en la forma en la que aplique a sus áreas de responsabilidad</t>
  </si>
  <si>
    <t>Política Ambiental</t>
  </si>
  <si>
    <t>La alta dirección debe establecer, implementar y mantener una política ambiental que, dentro del alcance definido en el SGA:</t>
  </si>
  <si>
    <t>a) sea apropiada al propósito y contexto de la organización, incluida la naturaleza, magnitud e impactos ambientales de sus actividades, procesos y servicios</t>
  </si>
  <si>
    <t>b) proporcione un marco de referencia para el establecimiento de los objetivos ambientales</t>
  </si>
  <si>
    <t>c) incluya un compromiso para la protección del medio ambiente, incluida la prevención de la contaminación, y otros compromisos específicos pertinentes al contexto de la organización</t>
  </si>
  <si>
    <t>d) incluya un compromiso de cumplir requisitos legales y otros aplicables</t>
  </si>
  <si>
    <t>e) incluya un compromiso de mejora continua del SGA</t>
  </si>
  <si>
    <t>b) informar a la alta dirección sobre el desempeño del SGA, incluyendo su desempeño ambiental</t>
  </si>
  <si>
    <t>La organización debe establecer, implementar y mantener los procesos necesarios para cumplir los requisitos de los apartados 6.1.1 a 6.1.4.</t>
  </si>
  <si>
    <t>a) las cuestiones referidas en el apartado 4.1</t>
  </si>
  <si>
    <t>b) los requisitos referidos en el apartado 4.2</t>
  </si>
  <si>
    <t>Al planificar el SGA, la organización debe considerar:</t>
  </si>
  <si>
    <t>c) el alcance de su sistema de gestión ambiental</t>
  </si>
  <si>
    <t>y determinar los riesgos y oportunidades relacionados con sus:</t>
  </si>
  <si>
    <t>aspectos ambientales (véase 6.1.2)</t>
  </si>
  <si>
    <t>requisitos legales y otros requisitos (véase 6.1.3)</t>
  </si>
  <si>
    <t>y otras cuestiones y requisitos identificados en los apartados 4.1 y 4.2</t>
  </si>
  <si>
    <t>que necesitan abordarse para:</t>
  </si>
  <si>
    <t>asegurar que el SGA puede lograr sus resultados previstos</t>
  </si>
  <si>
    <t>prevenir o reducir los efectos no deseados, incluida la posibilidad de que condiciones ambientales externas afectan a la organización.</t>
  </si>
  <si>
    <t>lograr la mejora continua</t>
  </si>
  <si>
    <t>Dentro del alcance del SGA, la organización debe determinar las situaciones de emergencia potenciales, incluidas las que pueden tener un impacto ambiental.</t>
  </si>
  <si>
    <t>La organización debe mantener información documentada de sus:</t>
  </si>
  <si>
    <t>riesgos y oportunidades que es necesario abordar</t>
  </si>
  <si>
    <t>procesos necesarios especificados desde el apartado 6.1.1 al apartado 6.1.4, en la medida necesaria para tener confianza de que se llevan a cabo de la manera planificada.</t>
  </si>
  <si>
    <t>Aspectos ambientales</t>
  </si>
  <si>
    <t>Dentro del alcance definido del SGA, la organización debe determinar los aspectos ambientales de sus actividades, productos y servicios que puede controlar y de aquellos en los que puede influir, y sus impactos ambientales asociados, desde una perspectiva de ciclo de vida.</t>
  </si>
  <si>
    <t>a) los cambios, incluidos los desarrollos nuevos o planificados, y las actividades, productos y servicios nuevos o modificados.</t>
  </si>
  <si>
    <t>b) las condiciones anormales y las situaciones de emergencia razonablemente previsibles.</t>
  </si>
  <si>
    <t>La organización debe determinar aquellos aspectos que tengan o puedan tener un impacto ambiental significativo, es decir, los aspectos ambientales significativos, mediante el uso de criterios establecidos.</t>
  </si>
  <si>
    <t>La organización debe comunicar sus aspectos ambientales significativos entre los diferentes niveles y funciones de la organización, según corresponda.</t>
  </si>
  <si>
    <t>· Aspectos ambientales e impactos ambientales asociados</t>
  </si>
  <si>
    <t>· Aspectos ambientales significativos.</t>
  </si>
  <si>
    <t>· Criterios usados para determinar sus aspectos ambientales significativos</t>
  </si>
  <si>
    <t>6.1.3</t>
  </si>
  <si>
    <t>a) Determinar y tener acceso a los requisitos legales y otros requisitos relacionados con sus aspectos ambientales</t>
  </si>
  <si>
    <t>b) Determinar cómo estos requisitos legales y otros requisitos se aplican a la organiación.</t>
  </si>
  <si>
    <t>c) Tener en cuenta estos requisitos legales y otros requisitos cuando se establezca, implemente, mantenga y mejore continuamente su SGA.</t>
  </si>
  <si>
    <t>La organización debe mantener información documentada de sus requisitos legales y otros requisitos.</t>
  </si>
  <si>
    <t xml:space="preserve">6.1.4 </t>
  </si>
  <si>
    <t>Planificación de acciones</t>
  </si>
  <si>
    <t>a) la toma de acciones para abordar sus:</t>
  </si>
  <si>
    <t>1) aspectos ambientales significativos</t>
  </si>
  <si>
    <t>2) requisitos legales y otros requisitos</t>
  </si>
  <si>
    <t>3) riesgos y oportunidades identificados en el apartado 6.1.1.</t>
  </si>
  <si>
    <t>1) Integrar e implementar las acciones en los procesos de su SGA (véanse 6.2, 7, 8, 9.1) o en otros aspectos de negocio.</t>
  </si>
  <si>
    <t>2) Evaluar la eficacia de estas acciones (véase 9.1).</t>
  </si>
  <si>
    <t>Objetivos Ambientales y planificación para lograrlos</t>
  </si>
  <si>
    <t>Objetivos Ambientales</t>
  </si>
  <si>
    <t>La organización debe establecer objetivos ambientales para las funciones y niveles pertinentes, teniendo en cuenta aspectos ambientales significativos de la organización y sus requisitos legales y otros requisitos asociados, y considerando sus riesgos y oportunidades.</t>
  </si>
  <si>
    <t>Los objetivos ambientales deben:</t>
  </si>
  <si>
    <t>a) Ser coherentes con la política ambiental</t>
  </si>
  <si>
    <t>b) Ser medibles (si es factible)</t>
  </si>
  <si>
    <t>c) Ser objeto de seguimiento</t>
  </si>
  <si>
    <t>d) Comunicarse</t>
  </si>
  <si>
    <t>e) Actualizarse, según corresponsa</t>
  </si>
  <si>
    <t>La organización debe conservar la información sobre los objetivos ambientales</t>
  </si>
  <si>
    <t>Planificación de acciones para lograr los objetivos ambientales</t>
  </si>
  <si>
    <t>Al planificar cómo lograr los objetivos ambientales, la organización debe determinar:</t>
  </si>
  <si>
    <t>d) cuándo se finalizará</t>
  </si>
  <si>
    <t>e) cómo se evaluarán los resultados, incluidos los indicadores de seguimiento de los avances para el logro de sus objetivos ambientales medibles (véase 9.1.1)</t>
  </si>
  <si>
    <t>La organización debe considerar cómo se pueden integrar las acciones para el logro de sus objetivos ambientales a los procesos de negocio de la organización.</t>
  </si>
  <si>
    <t>a) determinar la competencia necesaria de las personas que realizan, bajo su control, un trabajo que afecta al desempeño ambiental y su capacidad para cumplir sus requisitos legales y otros requisitos.</t>
  </si>
  <si>
    <t>b) asegurarse de que estas personas sean competentes, basándose en la educación, formación o experiencia apropiadas.</t>
  </si>
  <si>
    <t>c) Determinar las necesidades de formación asociadas cons sus aspectos ambientales y su SGA.</t>
  </si>
  <si>
    <t>d) cuando sea aplicable, tomar acciones para adquirir la competencia necesaria y evaluar la eficacia de las acciones tomadas.</t>
  </si>
  <si>
    <t>la organización debe conservar la información documentada apropiada como evidencia de la competencia.</t>
  </si>
  <si>
    <t>a) política ambiental</t>
  </si>
  <si>
    <t>b) los aspectos ambientales significativos y los impactos reales o potenciales relacionados, asociados con su trabajo</t>
  </si>
  <si>
    <t>c) su contribución a la eficacia del SGA, incluidos los beneficios de una mejora del desempeño ambiental</t>
  </si>
  <si>
    <t>d) las implicaciones de no satisfacer los requisitos del SGA, incluido el incumplimiento de los requisitos legales y otros requisitos de la organización.</t>
  </si>
  <si>
    <t>7.4.1</t>
  </si>
  <si>
    <t>La organización debe establecer, implementar y mantener los procesos necesarios para las comunicaciones internas y externas pertinentes al SGA, que incluyan:</t>
  </si>
  <si>
    <t>Cuando establece sus procesos de comunicación, la organización debe:</t>
  </si>
  <si>
    <t>· Tener en cuenta los requisitos legales y otros requisitos</t>
  </si>
  <si>
    <t>· Asegurarse de que la información ambiental comunicada sea coherente con la información generada dentro del SGA, y que sea fiable.</t>
  </si>
  <si>
    <t>La organización debe responder a las comunicaciones pertinentes sobre su SGA.</t>
  </si>
  <si>
    <t>La organización debe conservar información documentada como evidencia de de sus comunicaciones, según corresponda.</t>
  </si>
  <si>
    <t>7.4.2</t>
  </si>
  <si>
    <t>Comunicación Interna</t>
  </si>
  <si>
    <t>a) comunicar internamente la información pertinente del SGA entre los niveles y funciones de la organización, incluidos los cambios en el SGA, según corresponda.</t>
  </si>
  <si>
    <t>b) asegurarse de que sus procesos de comunicación permiten que las personas que realicen trabajos bajo el control de la organización contribuyan a la mejora continua.</t>
  </si>
  <si>
    <t>7.4.3</t>
  </si>
  <si>
    <t>Comunicación Externa</t>
  </si>
  <si>
    <t>INFORMACIÓN DOCUMENTADA</t>
  </si>
  <si>
    <t>La organización debe comunicar externamente información pertinente al SGA, según se establezca en los procesos de comunicación de la organización y según lo requieran sus requisitos legales y otros requisitos.</t>
  </si>
  <si>
    <t>b) la información documentada que la organización determina como necesaria para la eficacia del sistema de gestión ambiental.</t>
  </si>
  <si>
    <t>La organización debe planificar, implementar y controlar los procesos necesarios para satisfacer los requisitos del SGA  y para implementar las acciones determinadas en los apartados 6.1 y 6.2, mediante:</t>
  </si>
  <si>
    <t>La organización debe controlar los cambios planificados y revisar las consecuencias de los cambios no previstos, tomando acciones para mitigar cualquier efecto adverso, cundo sea necesario.</t>
  </si>
  <si>
    <t>La organización debe asegurarse de que los procesos contratados externamente estén controlados o que se teng influencia sobre ellos. Dentro del SGA se debe definir el tipo y grado de control o influencia que se va a aplicar a estos procesos.</t>
  </si>
  <si>
    <t>En coherencia con la perspectiva del ciclo de vida, la organización debe:</t>
  </si>
  <si>
    <t>a) establecer los controles, según corresponda, para asegurarse de que sus requisitos ambientales se abordan en el proceso de diseño y desarrollo de producto o servicio, consideran cada etapa de su ciclo de vida.</t>
  </si>
  <si>
    <t>b) determinar sus requisitos ambientales para la compra de productos y servicios, según corresponda.</t>
  </si>
  <si>
    <t>c) comunicar sus requisitos ambientales pertinentes a los proveedores externos, incluidos los contratistas.</t>
  </si>
  <si>
    <t>d) considerar la necesidad de suministrar información acerca de los impactos ambientales potenciales significativos asociados con el transporte o la entrega, el uso, el tratamiento al fin de la vida útil y la disposición final de sus productos o servicios.</t>
  </si>
  <si>
    <t>La organización debe mantener la información documentada en la medida necesaria para tener la confianza en que los procesos se han llevado a cabo según lo planificado.</t>
  </si>
  <si>
    <t>PREPARACIÓN DE RESPUESTA ANTE EMERGENCIAS</t>
  </si>
  <si>
    <t>La organización debe establecer, implementar y mantener los procesos necesarios acerca de cómo prepararse y responder a situaciones potenciales de emergencia identificadas en el apartado 6.1.1.</t>
  </si>
  <si>
    <t>a) prepararse para responder, mediante la planificación de acciones para prevenir o mitigar los impactos ambientales adversos provocados por situaciones de emergencias.</t>
  </si>
  <si>
    <t>b) responder a situaciones de emergencia reales.</t>
  </si>
  <si>
    <t>c) tomar acciones para prevenir o mitigar las consecuencias de las situaciones de emergencia, apropiadas a la magnitud de la emergencia y al impacto ambiental potencial.</t>
  </si>
  <si>
    <t>d) poner a prueba periódicamente las acciones de respuesta planificadas, cuando sea factible.</t>
  </si>
  <si>
    <t>e) evaluar y revisar periódicamente los procesos y las acciones de respuesta planificadas, en particular, después de que hayan ocurrido situaciones de emergencia o de que se hayan realizado pruebas.</t>
  </si>
  <si>
    <t>f) proporcionar información y formación pertinentes, con relación a la preparación y respuesta ante emergencias, según corresponda, a las partes interesadas pertinentes, incluidas las personas que trabajan bajo su control.</t>
  </si>
  <si>
    <t>La organización debe hacer seguimiento, medir, analizar y evaluar su desempeño ambiental.</t>
  </si>
  <si>
    <t>c) los criterios contra los cuales la organización evaluará su desempeño ambiental, y los indicadores apropiados.</t>
  </si>
  <si>
    <t>La organización debe asegurarse de que se usan y mantiene equipos de seguimiento y medición calibrados o verificados, según corresponda.</t>
  </si>
  <si>
    <t>La organización debe evaluar el desempeño y la eficacia del sistema de gestión ambiental.</t>
  </si>
  <si>
    <t>La organización debe comunicar externa e internamente la información pertinente a su desempeño ambiental, según esté identificado en sus procesos de comunicación y como se exija en sus requisitos legales y otros requisitos.</t>
  </si>
  <si>
    <t>la organización debe conservar la información documentada apropiada como evidencia de los resultados del seguimiento, la medición, el análisis y la evaluación.</t>
  </si>
  <si>
    <t>Evaluación del Cumplimiento</t>
  </si>
  <si>
    <t>La organización debe establecer, implementar y mantener procesos necesarios para evaluar el cumplimiento de sus requisitos legales y otros requisitos.</t>
  </si>
  <si>
    <t>a) determinar la frecuencia con la que se evaluará el cumplimiento</t>
  </si>
  <si>
    <t>b) evaluar el cumplimiento y emprender las acciones que fueran necesarias</t>
  </si>
  <si>
    <t>c) mantener el conocimiento y la comprensión de su estado de cumplimiento</t>
  </si>
  <si>
    <t>La organización debe conservar información documentada como evidencia de los resultados de la evaluación del cumplimiento.</t>
  </si>
  <si>
    <t>La organización debe llevar a cabo auditorías internas a intervalos planificados para proporcionar información acerca de si el sistema de gestión ambiental:</t>
  </si>
  <si>
    <t>1) los requisitos propios de la organización para su SGA</t>
  </si>
  <si>
    <t>Programa de Auditoría Interna</t>
  </si>
  <si>
    <t>La organización debe establecer, implementar y mantener uno o varios programas de auditoría interna que incluyan la frecuencia, los métodos, las responsabilidades, los requisitos de planificación y la elaboración de informes de sus auditorías internas.</t>
  </si>
  <si>
    <t>Cuando establezca el programa de auditoría intenra, la organización debe tener en cuenta la importancia ambiental de los procesos involucrados, los cambios que afectan a la organización y los resultados de las auditorías previas.</t>
  </si>
  <si>
    <t>a) definir los criterios de la auditoría y el alcance para cada auditoría</t>
  </si>
  <si>
    <t>b) seleccionar los auditores y llevar a cabo auditorías para asegurarse de la objetividad y la imparcialidad del proceso de auditoría</t>
  </si>
  <si>
    <t>c) asegurarse de que los resultados de las auditorías se informen a al dirección pertinente</t>
  </si>
  <si>
    <t>La organización debe conservar información documentada como evidencia de la implementación del programa de auditoría y de los resultados de ésta.</t>
  </si>
  <si>
    <t>La alta dirección debe revisar el sistema de gestión ambiental de la organización a intervalos planificados, para asegurarse de la conveniencia, adecuación y eficacia continuas.</t>
  </si>
  <si>
    <t>La revisión por la dirección debe incluir las siguientes consideraciones sobre:</t>
  </si>
  <si>
    <t>b) los cambios en:</t>
  </si>
  <si>
    <t>1) en las cuestiones externas e internas que sean pertinentes al SGA</t>
  </si>
  <si>
    <t>2) las necesidades y expectativas de las partes interesadas, incluidos los requisitos legales y otros requisitos</t>
  </si>
  <si>
    <t>3) sus aspectos ambientales significativos</t>
  </si>
  <si>
    <t>4) los riesgos y oportunidades</t>
  </si>
  <si>
    <t>c) el grado en que se han logrado los objetivos ambientales</t>
  </si>
  <si>
    <t>d) la información sobre el desempeño ambiental de la organización, incluidas tendencias relativas a:</t>
  </si>
  <si>
    <t>1) no conformidades y acciones correctivas</t>
  </si>
  <si>
    <t>2) los resultados de seguimiento y medición</t>
  </si>
  <si>
    <t>3) cumplimiento de los requisitos legales y otros requisitos</t>
  </si>
  <si>
    <t>e) las adecuación de los recursos</t>
  </si>
  <si>
    <t>f) la comunicaciones pertinentes de las partes interesadas, incluidas las quejas</t>
  </si>
  <si>
    <t>g) las oportunidades de mejora continua</t>
  </si>
  <si>
    <t>Las salidas de la revisión por la dirección deben incluir:</t>
  </si>
  <si>
    <t>· Las decisiones sobre la conveniencia, adecuación y eficacia continuas del SGA</t>
  </si>
  <si>
    <t>· las decisiones relacionadas con las oportunidades de mejora continua</t>
  </si>
  <si>
    <t>· las decisiones relacionadas con cualquier necesidad de cambio en el SGA, incluidas los recursos</t>
  </si>
  <si>
    <t>· las acciones necesarias cuando no se hayan logrado los objetivos ambientales</t>
  </si>
  <si>
    <t>· las oportunidades de mejorar la integración del SGA a otros procesos de negocio, si fuera necesario</t>
  </si>
  <si>
    <t>· cualquie implicación para la dirección estratégica de la organización</t>
  </si>
  <si>
    <t>La organización debe determinar las oportunidades de mejora (véanse 9.1, 9.2 y 9.3) e implementar cualquier acción necesaria para lograr los resultados previstos en su SGA.</t>
  </si>
  <si>
    <t>Cuando ocurra una no conformidad, la organización debe:</t>
  </si>
  <si>
    <t>2) hacer frente a las consecuencias, incluida la mitigación de los impactos ambientales adversos</t>
  </si>
  <si>
    <t>b) evaluar la necesidad de acciones para eliminar las causas de la no conformidad, con el fin de que no vuelva a ocurrir ni ocurra en ese mismo lugar ni ocurra en otra parte, mediante:</t>
  </si>
  <si>
    <t>1) la revisión de la no conformidad</t>
  </si>
  <si>
    <t>f) si fuera necesario, hacer cambios al sistema de gestión ambiental</t>
  </si>
  <si>
    <t>Las acciones correctivas deben ser apropiadas a la importancia de los efectos de las no conformidades encontradas, incluidos los impactos ambientales</t>
  </si>
  <si>
    <t>· la naturaleza de las no conformidades y cualquier acción tomada posteriormente</t>
  </si>
  <si>
    <t>· los resultados de cualquier acción correctiva</t>
  </si>
  <si>
    <t>La organización debe mejorar continuamente la conveniencia, adecuación y eficacia del sistema de gestión ambiental para mejorar el desempeño ambiental.</t>
  </si>
  <si>
    <t>Comunicación externa</t>
  </si>
  <si>
    <t>a) el establecimiento de criterios para los procesos</t>
  </si>
  <si>
    <t>b) la implementación del control de los procesos de acuerdo con los criterios de operación</t>
  </si>
  <si>
    <t>La organización debe determinar y proporcionar los recursos necesarios para el establecimiento, implementación, mantenimiento y mejora continua del SGA.</t>
  </si>
  <si>
    <t>El sistema de gestión ambiental de la organización debe incluir:</t>
  </si>
  <si>
    <t>La organización debe determinar las cuestiones externas e internas que son pertinentes para su propósito y que afecta a su capacidad para alcanzar los resultados previstos de su sistema de gestión de la SST.</t>
  </si>
  <si>
    <r>
      <t xml:space="preserve">Comprensión de las necesidades y expectativas de los trabajadores y otras partes interesadas.
</t>
    </r>
    <r>
      <rPr>
        <sz val="12"/>
        <color theme="1"/>
        <rFont val="Calibri"/>
        <family val="2"/>
        <scheme val="minor"/>
      </rPr>
      <t>La organización debe determinar:</t>
    </r>
  </si>
  <si>
    <t>a) Las partes interesadas, además de los trabajadores, que son pertinentes al SG-SST</t>
  </si>
  <si>
    <t>b) las necesidades y expectativas pertinentes (es decir, los requisitos) de los trabajadores y de otras partes interesadas</t>
  </si>
  <si>
    <t>c) cuáles de las necesidades y expectativas son o podrían convertirse, en requisitos legales y otros requisitos.</t>
  </si>
  <si>
    <t>La organización debe determinar los límites y la aplicabilidad del SG-SST para establecer su alcance.</t>
  </si>
  <si>
    <t>Cuando se determine su alcance, la organización debe:
a) Considerar las cuestiones externas e internas indicadas en el apartado 4.1</t>
  </si>
  <si>
    <t>b) Tener en cuenta los requisitos indicados en el apartado 4.2</t>
  </si>
  <si>
    <t>c) tener en cuenta las actividades relacionadas con el trabajo, planificadas o relacionadas</t>
  </si>
  <si>
    <t>El SG-SST debe incluir las actividades, los productos y los servicios bajo el control o la influencia de la organización que pueden tener impacto en el desempeño de  la SST de la organización.</t>
  </si>
  <si>
    <t>El alcance debe estar disponible como información documentada.</t>
  </si>
  <si>
    <t>Asegúrese de que la aplicación del alcance sea relevante para:
1. Las cuestiones externas e internas mencionadas en el 4,1;
2. Requisitos contemplados en el 4,2;
3. el tipos de actividades relacionadas con el trabajo realizadas.
Cualquier cambio en el alcance debe estar sujeto a los requisitos de la norma y sujeta a auditoría mediante la evaluación de la conformidad.</t>
  </si>
  <si>
    <t>Determinación del alcance del SG-SST</t>
  </si>
  <si>
    <t>Sistema de gestión de la SST</t>
  </si>
  <si>
    <t>La organización debe establecer, implementar, mantener y mejorar continuamente un SG-SST, incluidos los procesos necesarios y sus interacciones, de acuerdo con los requisitos de este documento.</t>
  </si>
  <si>
    <t>Se proporciona evidencia útil para demostrar los procesos que sustan las actividades del SG-SST.
Contar con una matriz de procesos facilita la planificación, porque proporciona interacción con los requisitos de otras cláusulas, incluidas las relacionadas con el riesgo, la planificación, los recursos y el monitoreo y la medición de los resultados de los sistema de gestión. La matriz de proceso puede ser un elemento útil para presentar en la auditoría.</t>
  </si>
  <si>
    <t>LIDERAZGO Y PARTICIPACIÓN DE LOS TRABAJADORES</t>
  </si>
  <si>
    <r>
      <t xml:space="preserve">Liderazgo y compromiso
</t>
    </r>
    <r>
      <rPr>
        <sz val="12"/>
        <color theme="1"/>
        <rFont val="Calibri"/>
        <family val="2"/>
        <scheme val="minor"/>
      </rPr>
      <t>La lata dirección debe demostrar liderazgo y compromiso con respecto al SG-SST:</t>
    </r>
  </si>
  <si>
    <t>a) Asumiendo la total responsabilidad y rendición de cuentas para la prevención de las lesiones y el deterioro de la salud relacionados con el trabajo, así como la provisión de actividades y lugares de trabajo seguros y saludables</t>
  </si>
  <si>
    <t>b) asegurándose de que se establezcan la política de la SST y los objetivos relacionados con la SST y sean compatibles con la dirección estratégica de la organización.</t>
  </si>
  <si>
    <t>c) asegurándose de la integración de los requisitos del SG-SST en los procesos de negocio de la organización.</t>
  </si>
  <si>
    <t>d) asegurándose de que los recursos necesarios para establecer, implementar, mantener y mejorar el SG-SST estén disponibles.</t>
  </si>
  <si>
    <t>e) comunicando la importancia de una gestión de SST eficaz y conforme con los requisitos del SG-SST.</t>
  </si>
  <si>
    <t>f) asegurándose de que el SG-SST alcance los resultados previstos.</t>
  </si>
  <si>
    <t>g) dirigiendo y apoyando a las personas, para contribuir a la eficacia del SG-SST.</t>
  </si>
  <si>
    <t>h) asegurando y promoviendo la mejora continua.</t>
  </si>
  <si>
    <t>i) apoyando otros roles pertinentes de la dirección, para demostrar su liderazgo aplicado a sus áreas de responsabilidad.</t>
  </si>
  <si>
    <t>j) desarrollando, liderando y promoviendo una cultura en la organización que apoye los resultados previstos del SG-SST.</t>
  </si>
  <si>
    <t>k) protegiendo a los trabajadores de represalias al informar de incidentes, peligros, riesgos y oportunidades.</t>
  </si>
  <si>
    <t>l) asegurándose de que la organización establezca e implemente procesos para la consulta y la participación de los trabajadores.</t>
  </si>
  <si>
    <t>m) apoyando el establecimiento y funcionamiento de comités de seguridad y salud (véase 5.4-e)</t>
  </si>
  <si>
    <t>La alta dirección ha asumido el liderazgo y compromiso, en lugar de delegar a alguien más abajo en su organización. Los trabajadores están involucrados directamente para proteger, mejorar el rendimiento y apoyar el SG-SST.</t>
  </si>
  <si>
    <t>Política de la SST</t>
  </si>
  <si>
    <t>b) proporcione un marco de referencia para el establecimiento de los objetivos de la SST</t>
  </si>
  <si>
    <t>La alta dirección debe establecer, implemenar y mantener una política de la SST que:
a) incluya un compromiso para proporcionar condiciones de trabajo seguras y saludables para la prevención de lesiones y deterioro de la salud relacionados con el trabajo y que sea apropiada al propósito, tamaño y contexto de la organización y a la naturaleza específica de sus riesgos para la SST y sus oportunidades para la SST</t>
  </si>
  <si>
    <t>c) incluya un compromiso para cumplir requisitos legales y otros requisitos</t>
  </si>
  <si>
    <t>d) incluya un compromiso de eliminar peligros y reducir los riesgos para la SST</t>
  </si>
  <si>
    <t>f) Incluya un compromiso para la consulta y la participación de los trabajadores, y cuando existan, de los representantes de los trabajadores</t>
  </si>
  <si>
    <t>e) incluya un compromiso para la mejora continua del SG-SST</t>
  </si>
  <si>
    <t>La política de la SST debe:
· estar disponible como información documentada
· comunicarse dentro de la organización
· estar disponible para las partes interesadas, según sea apropiado
· ser pertinente y apropiada</t>
  </si>
  <si>
    <t>Se presta más atención a la comunicación y participación de los trabajadores, en toda la organización. 
La organización deben comprometerse a "satisfacer" los requisitos legales y de otro tipo y deben aplicar la jerarquía de los controles a los riesgos de la SST. 
La política debe estar disponible como información documentada.
Verificar que la declaración de política enfatiza la comunicación y la participación de los trabajadores, en toda la organización.
Debe haber un compromiso explícito con la jerarquía de controles a los riesgos de la SST.</t>
  </si>
  <si>
    <t>ANÁLISIS DE BRECHAS (GAP ANALYSIS) SG-SST</t>
  </si>
  <si>
    <t>Roles, responsabilidades y autoridades en la organización</t>
  </si>
  <si>
    <t>La alta dirección debe asegurarse de que las responsabilidades y autoridades para los roles pertinentes dentro del SG-SST se asignen y comuniquen a todos los niveles dentro de la organización, y se mantengan como información documentada. Los trabajadores en cada nivel de la organización deben asumir la responsabilidad de aquellos aspectos del SG-SST sobre los que tengan control.</t>
  </si>
  <si>
    <t>La alta dirección debe asignar responsabilidad y autoridad para:
a) asegurarse de que el SG-SST es conforme con los requisitos de este documento</t>
  </si>
  <si>
    <t>b) informar a la alta dirección sobre el desempeño del SG-SST</t>
  </si>
  <si>
    <t>Nota: Mientras que la responsbilidad y autoridad se pueden asignar, finalmente, la alta dirección es la que rinde cuentas del funcionamiento del SG-SST</t>
  </si>
  <si>
    <t>5.4</t>
  </si>
  <si>
    <t>Consulta y participación de los trabajadores</t>
  </si>
  <si>
    <t>La organización debe establecer, implementar, mantener procesos para la consulta y la participación de los trabajadores a todos los niveles y funciones aplicables, y cuando exista, de los representantes de los trabajadores en el desarrollo, la planificación, la implementación, la evaluación del desempeño y las acciones para la mejora del SG-SST.</t>
  </si>
  <si>
    <t>b) proporcionar el acceso oportuno a información clara, comprensible y pertinente sobre el SG-SST</t>
  </si>
  <si>
    <t>La organización debe:
a) proporcionar los mecanismos, el tiempo, la formación y los recursos necesarios para la consulta y la participación</t>
  </si>
  <si>
    <t>c) determinar y eliminar los obstáculos o barreras a la participación y minimizar aquellas que no pueden eliminarse</t>
  </si>
  <si>
    <t>Nota 1: la representación de los trabajadores puede ser un mecanismo para la consulta y la participación.</t>
  </si>
  <si>
    <t>Nota 2: los obstáculos y las barreras pueden incluir la falta de respuesta a los aportes o sugerencias de los trabajadores, barreras de idioma o de alfabetización, represalias o amenazas de represalias y políticas o prácticas que desalientan o penalizan la participación del trabajador.</t>
  </si>
  <si>
    <r>
      <t xml:space="preserve">d) enfatiza la </t>
    </r>
    <r>
      <rPr>
        <b/>
        <sz val="12"/>
        <color theme="1"/>
        <rFont val="Calibri"/>
        <family val="2"/>
        <scheme val="minor"/>
      </rPr>
      <t>consulta</t>
    </r>
    <r>
      <rPr>
        <sz val="12"/>
        <color theme="1"/>
        <rFont val="Calibri"/>
        <family val="2"/>
        <scheme val="minor"/>
      </rPr>
      <t xml:space="preserve"> de los trabajadores no directivos sobre lo siguiente:
1) la determinación de las necesdades y expectativas de las partes interesadas (véase 4.2).
2) el establecimiento de la política de la SST (véase 5.2)
3) la asignación de roles y autoridades de la organización, según sea aplicable (véase 5.3)
4) la determinación de cómo cumplir los requisitos legales y otros requisitos (véase 6.1.3)
5) el establecimiento de los objetivos de la SST y la planificación para lograrlos (véase 6.2)
6) la determinación de los controles aplicables para la contratación externa, las compras y los contratistas (véase 8.1.4)
7) la determinación de qué necesita seguimiento, medición y evaluación (véase 9.1)
8) la planificación, el establecimiento, la implementación yle mantenimiento de programas de auditoría (véase 9.2.2).
9) el aseguramiento de la mejora continua (véase 10.3).</t>
    </r>
  </si>
  <si>
    <r>
      <t xml:space="preserve">e) enfatiza la </t>
    </r>
    <r>
      <rPr>
        <b/>
        <sz val="12"/>
        <color theme="1"/>
        <rFont val="Calibri"/>
        <family val="2"/>
        <scheme val="minor"/>
      </rPr>
      <t>participación</t>
    </r>
    <r>
      <rPr>
        <sz val="12"/>
        <color theme="1"/>
        <rFont val="Calibri"/>
        <family val="2"/>
        <scheme val="minor"/>
      </rPr>
      <t xml:space="preserve"> de los trabajadores no dorectivos sobre lo siguiente:
1) la determinación de los mecanismos para su consulta y participación
2) la identificación de los peligros y la evaluación de los riesgos y oportunidades (véanse 6.1.1 y 6.1.2).
3) la determinación de las acciones para eliminar los peligros y reducir los riesgos para la SST (véase 6.1.4).
4) la determinación de los requisitos de competencia, las necesidades de formación, la formación y evaluación de la formación (véase 7.2).
5) la determinación de qué información se necesita comunicar y cómo hacerlo (véase 7.4).
6) la determinación de las medidas de control y su implementación y uso eficaces (véanse 8.1, 8.1.3 y 8.2).
7) la investigación de los incidentes y no conformidades y la determinación de las acciones correctivas (véase 10.2).</t>
    </r>
  </si>
  <si>
    <t>Nota 3: Enfatizar la consulta y participación de los trabajadores no directivos pretende aplicarse a las personas que llevan a cabo actividades de trabajo, pero no pretende excluir, por ejemplo, a los directivos que sufren impacto por actividades de trabajo o por otros factores de la organización.</t>
  </si>
  <si>
    <t>Nota 4: Se reconoce que la provisión sin costo para los trabajadores y la provisión de formacion durante las horas de trabajo, cuando sea posible, pueden eliminar barreras significativas para la participación de los trabajadores.</t>
  </si>
  <si>
    <t>Al planificar el SG-SST, la organización debe considerar las cuestiones referidas en el apartado 4.1 (contexto), los requisitos referidos en los apartados 4.2 (partes interesadas y 4.3 (el alcance de su de SG-SST) y determinar los riesgos y oportunidades que es necesario abordar con el fin de:</t>
  </si>
  <si>
    <t>a) asegurar que el SG-SST puede alcanzar los resultados previstos</t>
  </si>
  <si>
    <t>b) prevenir o reducir efectos no deseados</t>
  </si>
  <si>
    <t>c) lograr la mejora continua</t>
  </si>
  <si>
    <t>Al determinar los riesgos y oportunidades para el SG-SST y sus resultados previstos que es necesario abordar, la organización debe tener en cuenta:
· los peligros (véase 6.1.2.1)
· los riesgos para la SST y otros riesgos (véase 6.1.2.2)
· las oportunidades para la SST y otras oportunidades (véase 6.1.2.3)
· los requisitos legales y otros requisitos (véase 6.1.3)</t>
  </si>
  <si>
    <t>Asegurar que los riesgos y las oportunidades de 4.1 están documentados y que las acciones se han definido para aprovechar las oportunidades y mitigar los riesgos asociados con el SG-SST.
Demuestre que estas acciones han sido efectivas.  Esta Información debe estar disponible como información documentada.</t>
  </si>
  <si>
    <t xml:space="preserve"> ¿Quién podría afectar o verse afectado por sus actividades y cuáles podrían ser sus intereses relevantes y significativos? ¿Ha tenido en cuenta sus necesidades dentro sistema de gestión de la SST ?
1. Necesidades y expectaciones tanto de gestión y trabajadores no directivos y representantes de los trabajadores (donde existan);
2. Afectan al SG-SST o que se perciben afectados por el SG-SST (a. 4.2);
3. Trabajador y representantes apropiados de los trabajadores;
4. Requisitos legal y regulatorios
5. Otras organizaciones relacionados o perteneciente a un grupo
6. Proveedores, contratistas y subcontratistas;
7. Las organizaciones de trabajadores (sindicatos) y las organizaciones de empleadores
8. Propietarios, accionistas, clientes, visitantes, comunidad local, vecinos, público en general;
9. Salud ocupacional y organizaciones de seguridad; profesionales de seguridad y salud ocupacional (p. ej., médicos, enfermeras).</t>
  </si>
  <si>
    <t>La organización debe mantener información documentada sobre:
· Los riesgos y oportunidades
· los procesos y acciones necesarios para determinar y abordar sus riesgos y oportunidades (vésase desde 6.1.2 hasta 6.1.4), en la medida necesaria para tener la confianza de que se llevan a cabo según lo planificado.</t>
  </si>
  <si>
    <t>Identificación de peligros y evaluación de riesgos y oportunidades</t>
  </si>
  <si>
    <t>6.1.2.1</t>
  </si>
  <si>
    <t>Identificación de peligros</t>
  </si>
  <si>
    <t>La organización debe establecer, implementar y matener procesos de identificación continua y proactiva de los peligros. Los procesos deben tener en cuenta, pero no limitarse a:</t>
  </si>
  <si>
    <t>a) cómo se organiza el trabajo, los factores sociales [incluyendo la carga de trabajo, horas de trabajo, victimización y acoso (bullying)) e intimidación], el liderazgo, la cultura de la organización</t>
  </si>
  <si>
    <t>b) las actividades y lsas situaciones rutinarias y no rutinarias, incluyendo los peligros que surjan de:
1) la infraestructura, los equipos, los materiales, las sustancias y las condiciones físicas del lugar de trabajo
2) el diseño de productos y servicios, la investigación, el desarrollo, los ensayos, la producción, el montaje, la construcción, la prestación de servicios, el mantenimiento y la disposición
3) los factores humanos
4) cómo se realiza el trabajo</t>
  </si>
  <si>
    <t>c) los incidentes pasados pertinentes internos o externos a la organización, incluyendo emergencias, y sus causas</t>
  </si>
  <si>
    <t>d) las situaciones de emergencia potenciales</t>
  </si>
  <si>
    <t>e) las personas, incluyendo la consideración de:
1) aquéllas con acceso al lugar de trabajo y sus actividades, incluyendo trabajadores, contratistas, visitantes y otras personas
2) aquéllas en las inmediaciones del lugar de trabajo que pueden verse afectadas por las actividades de la organización
3) los trabajadores en una ubicación que no está bajo el control directo de la organización</t>
  </si>
  <si>
    <t>f) otras cuestiones, incluyendo consideraciones de:
1) el diseño de las áreas de trabajo, los procesos, las instalaciones, la máquina/ equipos, los procedimientos operativos y la organización del trabajo, incluyendo su adaptación a las necesidades y capacidades de los trabajadores involucrados
2) las situaciones que ocurren en las inmediaciones del lugar de trabajo causadas por las actividades relacionadas con el trabajo bajo el control de la organización.
3) las situaciones no controladas por la organización y que ocurren en las inmediaciones del lugar de trabajo que pueden causar lesiones y deterioro de la salud de las personas en el lugar de trabajo.</t>
  </si>
  <si>
    <t>g) los cambios reales o propuestos en la organización, operaciones, procesos, actividades y el SG-SST.</t>
  </si>
  <si>
    <t>h) los cambios en el conocimiento y la información sobre los peligros</t>
  </si>
  <si>
    <t>Asegúrese de que el proceso de identificación de peligros de la organización considera:
1. Actividades y situaciones fuera de rutina y no rutinarias;
2. Factores humanos;
3. Nuevos peligros o cambios;
4. Situaciones de emergencia potenciales;
5. Personas;
6. Cambios en conocimiento e información sobre los peligros.
En 6.1.1, hay un nuevo requisito para identificar oportunidades, como también:
1. Consideración de los trabajadores en un lugar que no está bajo el control directo de la organización;
2. Consideración de aquellos en las proximidades del lugar de trabajo que pueden verse afectados por las actividades de la organización;
3. Otras cuestiones, incluyendo situaciones no controladas por la organización y que ocurren en las cercanías del lugar de trabajo que pueden causar daño a la salud o enfermedad relacionados con el trabajo.</t>
  </si>
  <si>
    <t>6.1.2.2</t>
  </si>
  <si>
    <t>Evaluación de los riesgos para la SST y otros riesgos para el SG-SST</t>
  </si>
  <si>
    <t>La organización debe establecer, implementar y matener procesos para:
a) evaluar los riesgos para la SST apartir de los peligros identificados, teniendo en cuenta la eficacia de los controles existentes</t>
  </si>
  <si>
    <t>b) determinar y evaluar los otros riesgos relacionados con el establecimiento, implementación, operación y mantenimiento del SG-SST</t>
  </si>
  <si>
    <t>Las metodologías y criterios de la organización para la evaluación de los riesgos para la SST deben definirse con respecto al alcance, naturaleza y momento en el tiempo, para asegurarse de que son más proactivas que reactivas y que se utilicen de un modo sistemático. Estas metodologías y criterios deben mantenerse y conservarse como información documentada.</t>
  </si>
  <si>
    <t>Los procesos para la evaluación del riesgo para el SG-SST debe estar disponible como información documentada y debe considerar las operaciones y decisiones cotidianas (por ejemplo, picos en el flujo de trabajo, reestructuración), así como las cuestiones externas (por ejemplo, el cambio económico). 
Las metodologías pueden incluir la consulta continua de los trabajadores afectados por las actividades cotidianas (por ejemplo, cambios en la carga de trabajo), el seguimiento y la comunicación de nuevos requisitos legales y otros requisitos (por ejemplo, la reforma regulatoria, las revisiones a acuerdos relativos a la salud y la seguridad en el trabajo) y garantizar que los recursos satisfagan las necesidades existentes y cambiantes (por ejemplo, formación o adquisición de nuevos equipos o suministros mejorados).</t>
  </si>
  <si>
    <t>6.1.2.3</t>
  </si>
  <si>
    <t>Evaluación de las oportunidades para la SST y otras oportunidades para el SST</t>
  </si>
  <si>
    <t>La organización debe establecer, implementar y matener procesos para evaluar:
a) las oportunidades para la SST que permitan mejorar el desempeño de la SST, teniendo en cuenta los cambios planificados en la organización, sus políticas, sus procesos o sus actividades, y:
1) las oportunidades para adaptar el trabajo, la organización del trabajo y el ambiente de trabajo a los trabajadores
2) las oportunidades de eliminar los peligros y reducir los riesgos para la SST</t>
  </si>
  <si>
    <t>b) otras oportunidades para mejorar el SG-SST</t>
  </si>
  <si>
    <t>Nota: los riesgos para la SST y las oportunidades para la SST pueden dar como resultado otros riesgos y otras oportunidades para la organización</t>
  </si>
  <si>
    <t>El proceso de evaluación debe considerar las oportunidades para la SST y cualquier otra oportunidad determinada, sus beneficios y el potencial para mejorar el rendimiento de la SST.</t>
  </si>
  <si>
    <t>Determinación de los requisitos legales y otros requisitos</t>
  </si>
  <si>
    <t>La organización debe establecer, implementar y matener procesos para:
a) determinar y tener acceso a los requisitos legales y otros requisitos actualizados que sean aplicables a sus peligros, sus riesgos para la SST y su SG-SST</t>
  </si>
  <si>
    <t>b) determinar cómo estos requisitos legales y otros requisitos aplican a la organización y qué necesita comunicarse</t>
  </si>
  <si>
    <t>c) tener en cuenta estos requisitos y otros requisitos al establecer, implementar, mantener y mejorar de manera continua su SG-SST</t>
  </si>
  <si>
    <t>La organización debe mantener  y conservar información documentada sobre sus requisitos legales y otros requisitos y debe asegurarse de que se actualiza para reflejar cualquier cambio</t>
  </si>
  <si>
    <t>Nota: Los requisitos legales y otros requisitos pueden dar como resultado riesgos y oportunidades para la organización.</t>
  </si>
  <si>
    <t>Los requisitos legales puede dar lugar a riesgos y oportunidades para la organización y pueden derivarse de los requisitos obligatorios, las leyes y regulaciones aplicables, los compromisos voluntarios como las normas organizativas y de la industria, las relaciones contractuales, los principios de buena gobernanza y las normas comunitarias y éticas.
Las necesidades y expectativas de las partes interesadas sólo se convierten en requisitos obligatorios para una organización si se elige adoptarlos.</t>
  </si>
  <si>
    <t>6.1.4</t>
  </si>
  <si>
    <t>Planificación de las acciones</t>
  </si>
  <si>
    <t>La organización debe planificar:
a) Las acciones para:
1) abordar estos riesgos y oportunidades (véanse 6.1.2.2 y 6.1.2.3)
2) abordar requisitos legales y otros requisitos (véase 6.1.3)
3) prepararse y responder ante situaciones de emergencia (véase 8.2)</t>
  </si>
  <si>
    <t>b) la manera de:
1) integrar e implementar las acciones en sus procesos del SG-SST o en otros procesos de negocio
2) evaluar la eficacia de estas acciones</t>
  </si>
  <si>
    <t>La organización debe tener en cuenta la jerarquía de los controles (véase 8.1.2) y las salidas del SG-SST cuando planifique la toma de acciones</t>
  </si>
  <si>
    <t>Al planificar sus acciones la organización debe considerar las mejores prácticas, las opciones tecnológicas y los requisitos financieros, operaciones y de negocio.</t>
  </si>
  <si>
    <t>La esencia de este requisito es que está claro cómo el sistema de gestión aborda los riesgos, las oportunidades, el cumplimiento obligaciones y medidas de preparación y respuesta ante emergencias que surjan de 6.1.2, 6.1.3 y 8.2. 
Esto puede adoptar la forma de medidas de control en la sección de implementación (8), o formular objetivos (incluyendo mejora), como se ve en 6.2.</t>
  </si>
  <si>
    <t>Objetivos de la SST y planificación para lograrlos</t>
  </si>
  <si>
    <t>Objetivos de la SST</t>
  </si>
  <si>
    <t>La organización debe establecer los objetivos de la SST para las funciones y niveles pertinentes para mantener y mejorar continuamente  el SG-SST y le desempeño de la SST (véase 10.3)</t>
  </si>
  <si>
    <t>Los objetivos de la SST deben:
a) ser coherentes con la política de la SST</t>
  </si>
  <si>
    <t>b) ser medibles (si es posible) o evaluables en términos de desempeño</t>
  </si>
  <si>
    <t>c) tener en cuenta:
1) los requisitos aplicables
2) los resultados de la evaluación de los riesgos y oportunidades (véanse 6.1.2.2 y 6.1.2.3)
3) los resultados de la consulta con los trabajadores (véase 5.4) y, cuando exista, con los representantes de los trabajadores.</t>
  </si>
  <si>
    <t>d) Ser objeto de seguimiento</t>
  </si>
  <si>
    <t>e) Comunicarse</t>
  </si>
  <si>
    <t>f) actualizarse, según sea apropiado</t>
  </si>
  <si>
    <t>¿Son los objetivos compatibles con la política, los riesgos y oportunidades de la SST, el contexto empresarial y los recursos adecuados?.
Deben documentarse los objetivos y planes para alcanzarlos. 
Debe haber un registro de quién es responsable, los tiempos acordados, las medidas adoptadas para establecer el progreso y si se han logrado.</t>
  </si>
  <si>
    <t>Planificación para lograr los objetivos de la SST</t>
  </si>
  <si>
    <t>Al planificar cómo lograr los objetivos de la SST, la organización debe determinar:</t>
  </si>
  <si>
    <t>a) qués se va a hacer</t>
  </si>
  <si>
    <t>e) cómo se evaluarán los resultados, incluyendo los indicadores de seguimiento</t>
  </si>
  <si>
    <t>f) cómo se integrarán las acciones para lograr los objetivos de la SST en los procesos de negocio de la organización</t>
  </si>
  <si>
    <t>La organización debe mantener y conservar información documentada sobre los objetivos de la SST y los planes para lograrlos</t>
  </si>
  <si>
    <t>Los objetivos deben respaldar los requisitos de la política y estar considerados en consonancia con los recursos disponibles. Debe detallarse quién es el responsable, los tiempos acordados y las medidas en su lugar para establecer progresos y si los logros propuestos se han cumplido. 
Los objetivos y planes para alcanzarlos debe ser mantenidos y conservan como Documentado Información.</t>
  </si>
  <si>
    <t>La organización debe determinar y proporcionar recursos necesarios para el establecimiento, implementación, mantenimiento y mejora continua del SG-SST.</t>
  </si>
  <si>
    <t>La organización debe:
a) determinar la competencia necesaria de los trabajadores que afecta o puede afectar a su desempeño del SST</t>
  </si>
  <si>
    <t>b) asegurarse de que los trabajadores sean competentes (incluyendo la capacidad para identificar los peligros), basándose en la educaicón, formación o experiencia apropiados</t>
  </si>
  <si>
    <t>c) cuando sea aplicable, tomar acciones para adquirir y mantener la competencia necesaria y evaluar la eficacia de las acciones tomadas</t>
  </si>
  <si>
    <t>d) conservar información documentada apropiada, como evidencia de la competencia</t>
  </si>
  <si>
    <t>Nota: las acciones aplicables pueden incluir, por ejemplo, la provisión de formación, la tutoría o la reasignación de las personas empleadas actualmente, o la contratación o subcontratación de personas competentes.</t>
  </si>
  <si>
    <t>Evidencia documentada de competencia. Evidencia documentada de que la efectividad de se ha comprobado la formación.</t>
  </si>
  <si>
    <t>Los trabajadores deben ser sensibilizados sobre y tomar conciencia de:
a) la política de la SST y los objetivos de la SST</t>
  </si>
  <si>
    <t>b) su contribución a la eficacia del SG-SST, incluidos los beneficios de una mejora del desempeño de la SST</t>
  </si>
  <si>
    <t>c) las implicaciones y las consecuencias potenciales de no cumplir los requisitos del SG-SST</t>
  </si>
  <si>
    <t>d) los incidentes y los resultados de investigaciones, que sean pertinentes para ellos</t>
  </si>
  <si>
    <t>e) los peligros, los riesgos para la SST y las acciones determinadas, que sean pertinentes para ellos</t>
  </si>
  <si>
    <t>f) la capacidad de alejarse de situaciones de trabajo que consideren que presentan un peligro inminente y serio para su vida o su salud, así como las disposiciones para protegerles de las consecuencias indebidas de hacerlo.</t>
  </si>
  <si>
    <t>Comunicación interna</t>
  </si>
  <si>
    <t>8.1.</t>
  </si>
  <si>
    <t>8.1.1</t>
  </si>
  <si>
    <t>La organización debe establecer, implementar y matener procesos necesarios para las comunicaciones internas y externas pertinentes al SG-SST, incluyendo la determinación de:
a) Qué comunicar</t>
  </si>
  <si>
    <t>c) a quién comunicar:
1) internamente entre los diferentes nivles y funciones de la organización
2) entre contratistas y visitantes al lugar de trabajo
3) entre otras partes interesadas</t>
  </si>
  <si>
    <t>La organización debe tener en cuenta aspectos de diversidad (por ejemplo, género, idioma, cultura, alfabetización, discapacidad), al considerar sus necesidades de comunicación.</t>
  </si>
  <si>
    <t>La organización debe asegurarse de que se consideran los puntos de vista de partes interesadas externas al establecer sus procesos de comunicación.</t>
  </si>
  <si>
    <t>Al establecer sus procesos de comunicación, la organización debe:
· tener en cuenta sus requisitos legales y otros requisitos
· asegurarse de que la información de la SST a comunicar es coherente con la información generada dentro del SG-SST, y es fiable</t>
  </si>
  <si>
    <t>La organización debe responder a las comunicaciones pertinentes sobre el SG-SST.</t>
  </si>
  <si>
    <t>La organización debde conservar información documentada como evidencia de sus comunicaciones, según sea apropiado.</t>
  </si>
  <si>
    <t>La organización debe:
a) comunicar internamente la información pertinente para el SG-SST entre los diversos niveles y funciones de la organización, incluyendo los cambios en el SG-SST, según sea apropiado.</t>
  </si>
  <si>
    <t>b) asegurarse de que sus procesos de comunicación permitan a los trabajadores contribuir a la mejora continua.</t>
  </si>
  <si>
    <t>Internamente, las organizaciones tienen que comunicar información relevante para el SG-SST entre todos los niveles y funciones, incluyendo información sobre cualquier cambio, según proceda, y tiene que establecer un mecanismo para permitir que todas las personas que realizan el trabajo bajo el control de la organización contribuyan a la mejora continua.</t>
  </si>
  <si>
    <t>La organización debe comunicar externamente la información pertinente para el SG-SST, según se establece en los procesos de comunicación de la organización y teniendo en cuenta sus requisitos legales y otros requisitos.</t>
  </si>
  <si>
    <t>Externamente, las organizaciones tienen que comunicarse según lo requieran sus obligaciones de cumplimiento. Además, las organizaciones pueden optar por comunicarse sobre otros problemas, según corresponda.</t>
  </si>
  <si>
    <t>El SG-SST de la organización debe incluir:
a) la información documentada requerida por este documento</t>
  </si>
  <si>
    <t>b) la información documentada que la organización determina como necesaria para eficacia del SG-SST</t>
  </si>
  <si>
    <t>Nota: La extensión de la información documentada para su SG-SST puede variar de una organización a otra, debido a:
· el tamaño de la organización y el tipo de actividades, procesos, productos y servicios
· la necesidad de demostrar el cumplimiento de los requisitos legales y otros requisitos
· la complejidad de los procesos y sus interacciones
· la competencia de los trabajadores</t>
  </si>
  <si>
    <t>Se debe verificar que la extensión de la información documentada sea coherente con los aspectos considerados en este apartado.</t>
  </si>
  <si>
    <t>Al crear y actualizar la información documentada, la organización debe asegurarse de que lo siguiente sea apropiado:
a) la identificación y descripción (por ejemplo, título, fecha, autor o número de referencia)</t>
  </si>
  <si>
    <t>b) el formato (por ejemplo, idioma, versión del software, gráficos) y los medios de soporte (por ejemplo, papel, electrónico).</t>
  </si>
  <si>
    <t>c) la revisión y aprobación con respecto a la conveniencia y adecuación.</t>
  </si>
  <si>
    <t>Se debe verificar que la información documentada se cree de manera clara y definida, en el formato correcto, y que sea revisada y aprobada por los responsables definidos por la organización.</t>
  </si>
  <si>
    <t>La información documentgada requerida por el SG-SST y por este documento se debe controlar para asegurarse de que:
a) esté disponible y sea idónea para su uso, dónde y cuándo se necesite</t>
  </si>
  <si>
    <t>b) esté protegida adecuadamente (por ejemplo, contra pérdida de confidencialidad, uso inadecuado, o pérdida de integridad</t>
  </si>
  <si>
    <t>Para el control de la información documentada, la organización debe abordar las siguientes actividades, cuando sea aplicable:
· distribución, acceso, recuperación y uso
· almacenamiento y preservación, incluida la preservación de la legibilidad
· control de cambios (por ejemplo, control de versión)
· conservación y disposición</t>
  </si>
  <si>
    <t>La información documentada de origen externo que la organización determina como necesaria para la planificación y operación del SG-SST se debe identificar, según sea apropiado, y controlar.</t>
  </si>
  <si>
    <t>Nota 1: el acceso puede implicar una decisión en relación al permiso solamente para consultar la información documentada, o al permiso y a la autoridad para consultar y modificar la información documentada.</t>
  </si>
  <si>
    <t>Nota 2: el acceso a la información documentada pertinente incluye el acceso  por parte de los trabajadores, y cuando existan, de los representantes de los trabajadores.</t>
  </si>
  <si>
    <t>Se debe verificar el grado de preservación y protección de la información y acceso, y cómo está siendo controlada, de acuerdo con las directrices de este requisito.
Verificar que la información de origen externo se controla de manera similar a la de origen interno.</t>
  </si>
  <si>
    <t>La organización debe planificar, implementar, controlar y mantener los procesos necesarios para cumplir los requisitos del SG-SST y para implementar las acciones determinadas en el capítulo 6, mediante:
a) el establecimiento de criterios para los procesos</t>
  </si>
  <si>
    <t>b) la implementación del control de los procesos de acuerdo con los criterios</t>
  </si>
  <si>
    <t>c) el mantenimiento y la conservación de información documentada en la medida necesaria para confiar en que los procesos se han llevado a cabo según lo planificado.</t>
  </si>
  <si>
    <t>d) la adaptación del trabajo a los trabajadores</t>
  </si>
  <si>
    <t>En lugares de trabajo con múltiples empleadores, la organización debe coordinar las partes pertinentes del SG-SST con las otras organizaciones.</t>
  </si>
  <si>
    <t>¿Se han planificado los riesgos y se han incluido controles de riesgo en los procesos operacionales, y estos están acorde a las capacidades de la fuerza de trabajo? ¿Están documentados cuando es necesario?</t>
  </si>
  <si>
    <t>8.1.2</t>
  </si>
  <si>
    <t>8.1.3</t>
  </si>
  <si>
    <t>Gestión del cambio</t>
  </si>
  <si>
    <t>8.1.4</t>
  </si>
  <si>
    <t>Compras</t>
  </si>
  <si>
    <t>8.1.4.1</t>
  </si>
  <si>
    <t>8.1.4.2</t>
  </si>
  <si>
    <t>Contratistas</t>
  </si>
  <si>
    <t>b) sustituir con procesos, operaciones, materiales o equipos menos peligrosos</t>
  </si>
  <si>
    <t>c) utilizar controles de ingeniería y reorganización del trabajo</t>
  </si>
  <si>
    <t>d) utilizar controles administrativos, incluyendo la formación</t>
  </si>
  <si>
    <t>e) utilizar equipos de protección personal adecuados</t>
  </si>
  <si>
    <t>En muchos países, los requisitos legales y otros requisitos incluyen el requisito de que los equipos de protección personal (EPP) se proporcionen sin costo para los trabajadores.</t>
  </si>
  <si>
    <t>La organización debe establecer procesos para la implementación y el control de los cambios planificados temporales y permanentes que impactan en el desempeño de la SST, incluyendo:</t>
  </si>
  <si>
    <t>a) los nuevos productos, servicios y procesos o los cambios de productos, servicios y procesos existentes, incluyendo:
· las ubicaciones de los lugares de trabajo y sus alrededores
· la organización del trabajo
· las condiciones de trabajo
· los equipos
· la fuerza de trabajo</t>
  </si>
  <si>
    <t>b) cambios en los requisitos legales y otros requisitos</t>
  </si>
  <si>
    <t>c) cambios en el conocimiento o la información sobre los peligros y riesgos para la SST</t>
  </si>
  <si>
    <t>d) desarrollos en conocimiento y tecnología</t>
  </si>
  <si>
    <t>La organización debe revisar las consecuencias de los cambios no previstos, tomando acciones para mitigar cualquier efecto adverso, según sea necesario.</t>
  </si>
  <si>
    <t>Nota: Los cambios pueden resultar en riesgos y oportunidades.</t>
  </si>
  <si>
    <t>Cuando se planifican cambios en la operación, ¿se tiene considerado el efecto sobre el SG-SST?
La información documentada debe conservarse en relación con los cambios planificados y su impacto potencial en el SG-SST.</t>
  </si>
  <si>
    <t>La organización debe establecer, implementar y matener procesos para controlar la compra de productos y servicios de forma que se asegure la conformidad con su SG-SST.</t>
  </si>
  <si>
    <t>La organización debe coordinar sus procesos de compras con sus contratistas, para identificar los peligros y para evaluar y controlar los riesgos para la SST, que surjan de:
a) las actividades y operaciones de los contratistas que impactan en la organización</t>
  </si>
  <si>
    <t>b) las actividades y operaciones de la organización que impactan en los trabajadores de los contratistas</t>
  </si>
  <si>
    <t>c) las actividades y operaciones de los contratistas que impactan en otras partes interesadas en el lugar de trabajo.</t>
  </si>
  <si>
    <t>La organización debe asegurarse de que los requisitos del su SG-SST se cumplen por los contratistas y sus trabajadores. Los procesos de compra de la organización deben definir y aplicar los criterios de la seguridad y salud en el trabajo para la selección de contratistas.</t>
  </si>
  <si>
    <t>Nota: Puede ser útil incluir los criterios de la SST para la selección de los contratistas en los documentos contractuales.</t>
  </si>
  <si>
    <t>Los controles para la SST ahora son relevantes para la compra de bienes y materiales. Establecer controles, dentro de su proceso de aprovisionamiento existente, para garantizar que la adquisición de bienes (por ejemplo, productos, materiales o sustancias peligrosas, materias primas, equipos) y servicios conforme a los requisitos del SG-SST. 
Antes de la adquisición de bienes y servicios, la organización debe identificar los controles de adquisición que incluya:
1. Identificar y evaluar los riesgos potenciales de la SST asociados con productos, materiales, equipo, servicio;
2. Requisitos para productos, materiales, equipos, servicios para ajustarse a los objetivos de la SST
3. Necesidad de información, participación y comunicaciones
4. Verificar equipos antes de su uso, que las instalaciones y materiales son adecuados antes de ser liberados para su uso por los trabajadores;
5. Los artículos son entregados según las especificaciones, y probados previamente, para garantizar que funcionan como está planificado;
6. Los requisitos de uso, precauciones u otras medidas de protección se comunican y disponibles.</t>
  </si>
  <si>
    <t>8.1.4.3</t>
  </si>
  <si>
    <t>Contratación externa</t>
  </si>
  <si>
    <t>La organización debe asegurarse de que las funciones y los procesos contratados externamente estén controlados. La organización debe asegurarse de que sus acuerdos en materia de contratación externa son coherentes con los requisitos legales y otros requisitos,  con alcanzar los resultados previstos del SG-SST. El tipo y grado de control a aplicar a estas funciones y procesos deben definirse dentro del SG-SST.</t>
  </si>
  <si>
    <t>Nota: La coordinación con proveedores externos puede ayudar a una organización a abordar cualquier impacto que la contratación externa tenga sobre su desempeño de la SST.</t>
  </si>
  <si>
    <t>Las implicaciones de SST deben controlarse como parte del proceso de compra. La organización debe garantizar que se controlen los procesos externalizados que afectan al sistema de gestión de SST. 
Un proceso externalizado es aquel que:
1. Está dentro del alcance de su SG-SST;
2. Está integrado con el funcionamiento de la organización;
3. Es necesario para que su SG-SST logre los resultados previstos;
4. La responsabilidad por la conformidad con los requisitos es conservada por la organización;
5. la organización y el proveedor externo tienen una relación en la que el proceso es percibido por las partes interesadas como llevado a cabo por la Organización.</t>
  </si>
  <si>
    <t>Preparación y respuesta ante emergencias</t>
  </si>
  <si>
    <t>La organización debe planificar, implementar, controlar y mantener procesos necesarios para prepararse  y para responder ante situaciones de emergencia potenciales, según se identifica en el apartado 6.1.2.1, incluyendo:
a) el establecimiento de la respuesta planificada a las situaciones de emergenica, incluyendo la prestación de primeros auxilios</t>
  </si>
  <si>
    <t>b) la provisión de formación para las respuestas palnificadas</t>
  </si>
  <si>
    <t>c) las pruebas periódicas y el ejercicio de la capacidad de respuesta planificada</t>
  </si>
  <si>
    <t>d) la evaluación del desempeño y, cuando sea necesario, la revisión de la respuesta planificada, incluso después de las pruebas y, en particular, después de que ocurran situaciones de emergencias</t>
  </si>
  <si>
    <t>e) la comunicación y provisión de la información pertinente a todos los trabajadores sobre sus derechos y responsabilidades</t>
  </si>
  <si>
    <t>f) la comunicación de la información pertinente a los contratistas, visitantes, servicios de respuesta ante emergencias, autoridades gubernamentales y, según sea apropiado, a la comunidad local</t>
  </si>
  <si>
    <t>g) tener en cuenta las necesidades y capacidades de todas las partes interesadas pertinentes y asegurándose que se involucran, según sea apropiado, en el desarrollo de la respuesta planificada.</t>
  </si>
  <si>
    <t>la organización debe mantener y conservar información documentada sobre los procesos y sobre los planes de respuesta ante situaciones de emergencia potenciales</t>
  </si>
  <si>
    <t>La norma revisada refuerza y amplía la requisitos previos y también incluye comunicaciones. Asegúrese de que los planes de emergencia tienen en cuenta las necesidades de los terceros pertinentes, se prueban periódicamente y se mantienen como información documentada. 
Los simulacros de emergencia debe ser evaluado y generar aprendizaje y mejora.</t>
  </si>
  <si>
    <t>Seguimiento, medición, análisis y evaluación del desempeño</t>
  </si>
  <si>
    <t>La organización debe establecer, implementar y mantener procesos para el seguimiento, la medición, el análisis y la evalaución del desempeño.</t>
  </si>
  <si>
    <t>La organización debe determinar:
a) qué necesita seguimiento y medición, incluyendo:
1) el grado en que se cumplen los requisitos legales y otros requisitos
2) sus actividades y operaciones relacionadas con los peligros, los riesgos y las oportunidades identificados
3) el progreso en el logro de los objetivos de la SST de la organización
4) la eficacia de los controles operacionales y de otros controles</t>
  </si>
  <si>
    <t>b) los métodos de seguimiento, medición, análisis y evaluación del desempeño, según sea aplicable, para asegurar resultados válidos</t>
  </si>
  <si>
    <t>c) los criterios frente a los que la organización evaluará su desempeño de la SST</t>
  </si>
  <si>
    <t>d) cuándo se debe realizar el seguimiento y la medición</t>
  </si>
  <si>
    <t>e) cuándo se deben analizar, evaluar y comunicar los resultados del seguimiento y la medición</t>
  </si>
  <si>
    <t>La organización debe asegurarse de que el equipo de seguimiento y medición se calibra o se verifica según sea aplicable, y se utiliza y mantiene según sea apropiado</t>
  </si>
  <si>
    <t>Nota: Puede haber requisitos legales u otros requisitos (por ejemplo, normas nacionales o internacionales) relativos a la calibración o verificación del equipo de seguimiento y medición</t>
  </si>
  <si>
    <t>La organización debe conservar la información documentada adecuada:
· como evidencia de los resultados de seguimiento, la medición, el análisis y la evaluación del desempeño
· sobre el mantenimiento, callibración o verificación de los equipos de medición</t>
  </si>
  <si>
    <t>Evaluación del cumplimiento</t>
  </si>
  <si>
    <t>La organización debe establecer, implementar y mantener procesos para evaluar el cumplimiento con los requisitos legales y otros requisitos (véase 6.1.3)</t>
  </si>
  <si>
    <t>La organización debe:
a) determinar la frecuencia y los métodos para la evaluación del desempeño</t>
  </si>
  <si>
    <t>b) evaluar el cumplimiento y tomar acciones si es necesario (véase 10.2)</t>
  </si>
  <si>
    <t>c) mantener el conocimiento y la comprensión de su estado de cumplimiento con los requisitos legales y otros requisitos</t>
  </si>
  <si>
    <t>d) conservar la información documentada de los resultados de la evaluación del desempeño</t>
  </si>
  <si>
    <t>La frecuencia y el método de verificación de cumplimiento deben ser considerados. Verificar que se mantenga información documentada sobre los resultados de los resultados de la evaluación de cumplimiento.</t>
  </si>
  <si>
    <t>Auditoría</t>
  </si>
  <si>
    <t>La organizaicón debe llevar a cabo auditorías internas a intervalos planificados, para proporcionar información acerca de si el SG-SST:
a) es conforme con:
1) los requisitos propios de la organización para su SG-SST, incluyendo la política de la SST y los objetivos de la SST.
2) los requisitos de este documento</t>
  </si>
  <si>
    <t>Verificar que los arreglos de la auditoría sean suficiente y corresponden a lo planificado.</t>
  </si>
  <si>
    <t>Programa de auditoría interna</t>
  </si>
  <si>
    <t>La organización debe:
a) planificar, establecer, implementar y mantener programas de auditoría que incluyan la frecuencia, los métodos, las responsabilidades, la consulta, los requisitos de planificación, y la elaboración de informes, que deben tener en consideración la importancia de los procesos involucrados y los resultados de las auditorías previas.</t>
  </si>
  <si>
    <t>b) definir los criterios de auditoría y el alcance para cada auditoría.</t>
  </si>
  <si>
    <t>c) seleccionar auditores y llevar a cabo auditorías para asegurarse de la objetividad y la imparcialidad del proceso de auditoría.</t>
  </si>
  <si>
    <t>d) asegurarse de que los resultados de las auditorías se informan a los directivos pertinentes; asegurarse de que se informa de los hallazgos de la auditoría pertinentes a los trabajadores, y cuando existan, a los representantes de los trabajadores, y a otras partes interesadas pertinentes.</t>
  </si>
  <si>
    <t>e) tomar acciones para abordar las no conformidades y mejorar continuamente su desempeño de la SST.</t>
  </si>
  <si>
    <t>f) conservar información documentada como evidencia de la implementación del programa de auditoría y de los resultados de las auditorías.</t>
  </si>
  <si>
    <t>Nota: Para más información sobre las auditorías y las competencias de los auditores, véase la Norma ISO 19011.</t>
  </si>
  <si>
    <t>Los trabajadores deben incluirse en el proceso de auditoría y el desarrollo del plan de auditoría. 
Conservar el programa de auditoría y los resultados de la auditoría como información documentada.</t>
  </si>
  <si>
    <t>Revisión por la dirección</t>
  </si>
  <si>
    <t>La alta dirección debe revisar el SG-SST de la organización a intervalos planificados, para asegurarse de su conveniencia, adecuación y eficacia continuas.</t>
  </si>
  <si>
    <t>La revisión por la direcicón debe considerar:
a) el estado de las acciones de las revisiones por la dirección previas.</t>
  </si>
  <si>
    <t>b) los cambios en las cuestiones externas e internas que sean pertinentes al SG-SST, incluyendo:
1) las necesidades y expectativas de las partes interesadas
2) los requisitos legales y otros requisitos
3) los riesgos y oportunidades</t>
  </si>
  <si>
    <t>c) el grado en que se han cumplido la política de la SST y los objetivos de la SST</t>
  </si>
  <si>
    <t>d) la información sobre el desempeño de la SST, incluidas las tendencias relativas a:
1) los incidentes, no conformidades, acciones correctivas y mejora continua
2) los resutados de seguimiento y medición
3) los resultados de la evaluación del cumplimiento con los requisitos legales y otros requisitos
4) los resultados de la auditoría
5) la consulta y la participación de los trabajadores
6) los riesgos y oportunidades</t>
  </si>
  <si>
    <t>e) la adecuación de los recursos para mantener un SG-SST eficaz</t>
  </si>
  <si>
    <t>f) las comunicaciones pertinentes con las partes. Interesadas</t>
  </si>
  <si>
    <t>g) las oportunidades de mejora</t>
  </si>
  <si>
    <r>
      <rPr>
        <b/>
        <sz val="12"/>
        <color theme="1"/>
        <rFont val="Calibri"/>
        <family val="2"/>
        <scheme val="minor"/>
      </rPr>
      <t>Las salidas de la revisión por la dirección deben incluir las decisiones relacionadas con</t>
    </r>
    <r>
      <rPr>
        <sz val="12"/>
        <color theme="1"/>
        <rFont val="Calibri"/>
        <family val="2"/>
        <scheme val="minor"/>
      </rPr>
      <t>:
· la conveniencia, adecuación y eficacia continuas del SG-SST en lacanzar sus resultados previstos
· las oportunidades de mejora continua
· cualquier necesidad de cambio en el SG-SST
· los recursos necesarios
· las acciones, si son necesarias
· las oportunidades de mejorar la integración del SG-SST con otros procesos de negocio
· cualquier implicación para la dirección estratégica de la organización</t>
    </r>
  </si>
  <si>
    <t>La alta dirección debe comunicar los resultados pertinentes de las revisiones por la dirección a los trabajadores, y cuando existan, a los representantes de los trabajadores (véase 7.4).</t>
  </si>
  <si>
    <t>La organización debe conservar la información documentada como evidencia de los resultados de las revisiones por la dirección.</t>
  </si>
  <si>
    <t>Se hace énfasis en la mejora y comunicaciones basadas en riesgos, oportunidades y efectividad del sistema. 
Conserve  el acta de revisión como información documentada. 
Debe Tenerse en cuenta los nuevos requisitos de entrada en la norma.</t>
  </si>
  <si>
    <t>La organización debe determinar las oportunidades de mejora (véase capítulo 9) e implementar las acciones necesarias para alcanzar los resultados previstos de su SG-SST.</t>
  </si>
  <si>
    <t>Asegúrese de que los empleados participan en la mejora continua y  de recibir comunicación sobre iniciativas de mejora.</t>
  </si>
  <si>
    <t xml:space="preserve">10.2 </t>
  </si>
  <si>
    <t>Incidentes, no conformidades y acciones correctivas</t>
  </si>
  <si>
    <t>La organización debe establecer, implementar, mantener procesos, incluyendo informar, investigar y tomar acciones para determinar y gestionar los incidentes y las no conformidades.</t>
  </si>
  <si>
    <t>Cuando ocurra un incidente o una no conformidad, la organización debe:
a) reaccionar de manera oportuna ante el incidente o la no conformidad y, según sea aplicable:
1) tomar acciones para controlar y corregir el incidente o la no conformidad
2) hacer frente a las consecuencias</t>
  </si>
  <si>
    <t>b) evaluar, con la participación de los trabajadores (véase 5.4) e involucrando a otras partes interesadas pertinentes, la necesidad de acciones correctivas para eliminar la causa raíz del incidente o la no conformidad, con el fin de que no vuelva a ocurrir ni ocurra en otra aprte, mediante:
1) investigación del incidente o la revisión de la no conformidad
2) la deyterminación de las causas del incidente o la no conformidad
3) la determinación de si han ocurrido incidentes similares, si existen no conformidades, o si potencialmente podrían ocurrir</t>
  </si>
  <si>
    <t>c) revisar las evaluaciones existentes de los riesgos para la SST y otros riesgos, según sea apropiado (vease 6.1).</t>
  </si>
  <si>
    <t>d) determinar e implementar cualquier acción necesaria, incluyendo acciones correctivas, de acuerdo con la jerarquía de los controles (vésase 8.1.2) y la gestión del cambio (vésase 8.1.3).</t>
  </si>
  <si>
    <t>e) evaluar los riesgos de la SST que se relacionan con los peligros nuevos o modificados, antes de tomar acciones.</t>
  </si>
  <si>
    <t>f) revisar la eficacia de cualquier acción tomada, incluyendo las acciones correctivas.</t>
  </si>
  <si>
    <t>g) si fuera necesario, hacer cambios al SG-SST.</t>
  </si>
  <si>
    <t>Las acciones correctivas deben ser apropiadas a los efectos o los efectos potenciales de los incidentes o las no conformidades encontradas.</t>
  </si>
  <si>
    <t>La organización debe conservar información documentada como evidencia de:
· la naturaleza de los incidentes o las no conformidades y cualquier acción tomada posteriormente
· los resultados de cualquier acción y acción correctiva, incluyendo su eficacia.</t>
  </si>
  <si>
    <t>La organización debe comunicar esta información documentada a los trabajadores pertinentes, y, cuando exista, a los representantes de los trabajadores, y a otras partes interesadas pertinentes.</t>
  </si>
  <si>
    <t>Nota: Informar e investigar incidentes sin retraso indebidos puede permitir que se eliminen los peligros y que los riesgos para la SSt asociados se minimicen lo antes posible.</t>
  </si>
  <si>
    <t xml:space="preserve">Esta cláusula establece los requisitos para la ocurrencia de un incidente o no conformidad. Los requisitos también incluyen medidas para prevenir un similar incidentes o la ocurrencia de una no conformidad. Esto se debe lograr a través de la revisión y análisis para determinar qué lo causó, y cualquier acción para evitar que vuelva a ocurrir en el futuro.
Esta cláusula requiere que se tomen las medidas apropiadas para abordar los efectos del problema. Esto puede requerir una simple corrección por un evento operativo o, en un evento importante, niveles significativos de recursos.
Un análisis de riesgo puede ayudar a determinar las acciones apropiadas que deben tomarse. Cualquier riesgo en curso debe ser registrado en el registro de riesgos y se debe tener en cuenta durante las futuras actividades de planificación.
Las no conformidades y las acciones subsiguientes para evitar la repetición y la efectividad de las acciones correctivas deben documentarse y conservarse debidamente. </t>
  </si>
  <si>
    <t>La organización debe mejorar continuamente la conveniencia, adecuación y eficacia del SG-SST para:
a) mejorar el desempeño de la SST</t>
  </si>
  <si>
    <t>b) Promover una cultura que apoye el SG-SST.</t>
  </si>
  <si>
    <t>c) promover la participación de los trabajadores en la implementación de acciones para la mejora continua de l SG-SST</t>
  </si>
  <si>
    <t>d) comunicar los resultados pertinentes de la mejora continua a sus trabajadores, y cuando existan, a los representantes de los trabajadores.</t>
  </si>
  <si>
    <t>e) mantener y conservar información documentada como evidencia de la mejora continnua.</t>
  </si>
  <si>
    <t>RESULTADO ESPERADO</t>
  </si>
  <si>
    <r>
      <rPr>
        <b/>
        <sz val="12"/>
        <color theme="1"/>
        <rFont val="Calibri"/>
        <family val="2"/>
        <scheme val="minor"/>
      </rPr>
      <t>Ejemplos de factores del contexto externo</t>
    </r>
    <r>
      <rPr>
        <sz val="12"/>
        <color theme="1"/>
        <rFont val="Calibri"/>
        <family val="2"/>
        <scheme val="minor"/>
      </rPr>
      <t xml:space="preserve"> que pueden obtenerse a través del análisis de PESTAL incluye:
1.	Grupos de presión y sindicatos de trabajadores;
2.	Aseguradores y stakeholder Vistas;
3.	Las condiciones económicas;
4.	Las expectativas sociales y prioridades politicas;
5.	La legislación y la observancia;
6.	Las agencias nacionales/internacionales.
</t>
    </r>
    <r>
      <rPr>
        <b/>
        <sz val="12"/>
        <color theme="1"/>
        <rFont val="Calibri"/>
        <family val="2"/>
        <scheme val="minor"/>
      </rPr>
      <t>Ejemplos de de contexto interno</t>
    </r>
    <r>
      <rPr>
        <sz val="12"/>
        <color theme="1"/>
        <rFont val="Calibri"/>
        <family val="2"/>
        <scheme val="minor"/>
      </rPr>
      <t xml:space="preserve"> que pueden obtenerse a través del análisis DOFA (SWOT) incluye:
1.	Estructura, responsabilidades, competencias y control;
2.	Nuevos productos, asuntos contractuales, cooperación y comunicaciones.</t>
    </r>
  </si>
  <si>
    <t>La alta dirección puede delegar tareas, pero no la responsabilidad. 
ISO 45001 requiere la implicación personal para la mejor gestión del sistema de gestión de la SST. 
Un organigrama tradicional sigue siendo una excelente herramienta para ilustrar las líneas de reporte, pero es imperativo que se mantenga al día y disponible como información documentada.
Los auditores utilizan con frecuencia el organigrama como punto de partida para una auditoría porque puede ilustrar claramente el alcance de la Sistema de gestión de la SST.</t>
  </si>
  <si>
    <t>Esta cláusula pretende promover la participación de los trabajadores, el compromiso y las comunicaciones. También, promueve la participación de roles no directivos dentro de los requisitos del SG-SST, incluyendo incidentes investigaciones, evaluaciones de riesgos, más control y monitoreo actividades, incluida la auditoría interna.</t>
  </si>
  <si>
    <t>La organización, en sus procesos de planificación, debe determinar y evaluar los riesgos y oportunidades que son pertinentes para los resultados previstos del SG-SST asociados con los cambios en la organización, sus procesos, o el SG-SST. En el caso de cambios planificados, permanentes o temporales, esta evaluación debe llevarse a cabo antes de que se implemente el cambio (vésase 8.1.3)</t>
  </si>
  <si>
    <t>Identificar si la organización tiene establecidos los recursos necesarios para asegurar el desempeño del SG-SST.</t>
  </si>
  <si>
    <t>¿Son los trabajadores conscientes de los requisitos de las políticas, los peligros y los riesgos pertinentes para ellos y su participación en la actuación de la SST, incluidos los resultados de investigaciones de incidentes relevantes?</t>
  </si>
  <si>
    <t xml:space="preserve">Esta cláusula añade el requisito de considerar qué y por qué debe comunicarse y si la comunicación fue exitosa. 
Debe haber un proceso para documentar qué, cuándo, con quién y cómo comunicación se llevó a cabo. La comunicación con los contratistas también se requiere basado en 8.1.6.
La organización debe asegurarse de que la información comunicada es fiable y coherente con la información derivada de la gestión de la SST y se conserva como información documentada. </t>
  </si>
  <si>
    <t>La organización debe establecer, implementar y matener procesos para la eliminación de los peligros y la reducción de los riesgos para la SST utilizando la siguiente jerarquía de los controles:
a) eliminar el peligro</t>
  </si>
  <si>
    <t>Eliminar peligros y reducir riesgos para la SST</t>
  </si>
  <si>
    <r>
      <t xml:space="preserve">¿La jerarquía de los controles para la SST es correctamente aplicada? La organización establecerá un proceso y determinará los controles para lograr la reducción de los riesgos para la SST utilizando la siguiente jerarquía:
1. </t>
    </r>
    <r>
      <rPr>
        <b/>
        <sz val="12"/>
        <color theme="1"/>
        <rFont val="Calibri"/>
        <family val="2"/>
        <scheme val="minor"/>
      </rPr>
      <t>Eliminación de peligros</t>
    </r>
    <r>
      <rPr>
        <sz val="12"/>
        <color theme="1"/>
        <rFont val="Calibri"/>
        <family val="2"/>
        <scheme val="minor"/>
      </rPr>
      <t xml:space="preserve">: evitar riesgos, adaptar el trabajo a los trabajadores, integrar la seguridad sanitaria y la ergonomía a la planificación de nuevos puestos de trabajo; crear separación física del tráfico entre peatones y vehículos
2. </t>
    </r>
    <r>
      <rPr>
        <b/>
        <sz val="12"/>
        <color theme="1"/>
        <rFont val="Calibri"/>
        <family val="2"/>
        <scheme val="minor"/>
      </rPr>
      <t>Sustitución</t>
    </r>
    <r>
      <rPr>
        <sz val="12"/>
        <color theme="1"/>
        <rFont val="Calibri"/>
        <family val="2"/>
        <scheme val="minor"/>
      </rPr>
      <t xml:space="preserve">: sustitución de la práctica peligrosa por la no peligrosa o menos peligrosa (reemplazando la pintura a base de disolvente con pintura a base de agua)
3. </t>
    </r>
    <r>
      <rPr>
        <b/>
        <sz val="12"/>
        <color theme="1"/>
        <rFont val="Calibri"/>
        <family val="2"/>
        <scheme val="minor"/>
      </rPr>
      <t>Controles de ingeniería:</t>
    </r>
    <r>
      <rPr>
        <sz val="12"/>
        <color theme="1"/>
        <rFont val="Calibri"/>
        <family val="2"/>
        <scheme val="minor"/>
      </rPr>
      <t xml:space="preserve"> Implementar medidas de protección colectiva (aislamiento; protección de la máquina; ventilación; reducción de ruido, etc.)
4. </t>
    </r>
    <r>
      <rPr>
        <b/>
        <sz val="12"/>
        <color theme="1"/>
        <rFont val="Calibri"/>
        <family val="2"/>
        <scheme val="minor"/>
      </rPr>
      <t>Controles administrativos</t>
    </r>
    <r>
      <rPr>
        <sz val="12"/>
        <color theme="1"/>
        <rFont val="Calibri"/>
        <family val="2"/>
        <scheme val="minor"/>
      </rPr>
      <t xml:space="preserve">: Dar instrucciones apropiadas a los trabajadores (bloquear los procesos; inducción; licencias de conducción de carretillas elevadoras, etc.)
5. </t>
    </r>
    <r>
      <rPr>
        <b/>
        <sz val="12"/>
        <color theme="1"/>
        <rFont val="Calibri"/>
        <family val="2"/>
        <scheme val="minor"/>
      </rPr>
      <t>Equipo de protección personal (EPP)</t>
    </r>
    <r>
      <rPr>
        <sz val="12"/>
        <color theme="1"/>
        <rFont val="Calibri"/>
        <family val="2"/>
        <scheme val="minor"/>
      </rPr>
      <t>: Proporcionar EPP e instrucciones para la utilización/mantenimiento de EPI, es decir, zapatos de seguridad, gafas de seguridad, protección auditiva, guantes resistentes a productos químicos; guantes de protección eléctrica, etc.)</t>
    </r>
  </si>
  <si>
    <t>Tener en cuenta los controles y requisitos de comunicación con respecto a las actividades de los trabajadores del contratista, las actividades de los trabajadores de la empresa anfitriona y cualquier persona que pueda verse afectada por la actividad en el Trabajo. 
El establecimiento de controles y la comunicación requisitos con respecto a las actividades de los trabajadores del contratista, a las actividades de los trabajadores de la empresa anfitriona, y cualquier persona que pueda estar afectada por la actividad en el lugar de trabajo.</t>
  </si>
  <si>
    <t>Demuestre que hay un Proceso en su lugar. El seguimiento, medición, análisis y evaluación de las métricas de la SST deben tener en cuenta el contexto empresarial, los terceros pertinentes, riesgos, oportunidades y objetivos de la SST. Asegúrese de que la supervisión del rendimiento y los resultados de medición se conserven como información documentada.</t>
  </si>
  <si>
    <t>Demostrar que se planifica la mejora continua, que es implementada y Mantenida. 
Los resultados requeridos y reales de la mejora continua debe ser comunicada a los empleados. 
Esta cláusula tiene como objetivo garantizar que se están realizando progresos para mejorar la eficacia del SG-SST.
En general, es importante que en los procesos se haya identificado cualquier problema y que ha sido documentado y está en proceso de ser solucionado.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</si>
</sst>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3">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b/>
      <sz val="14"/>
      <name val="Arial"/>
      <family val="2"/>
    </font>
    <font>
      <b/>
      <sz val="15"/>
      <color theme="3"/>
      <name val="Calibri"/>
      <family val="2"/>
      <scheme val="minor"/>
    </font>
    <font>
      <b/>
      <sz val="12"/>
      <color theme="0"/>
      <name val="Calibri"/>
      <family val="2"/>
      <scheme val="minor"/>
    </font>
    <font>
      <sz val="12"/>
      <color theme="0"/>
      <name val="Calibri"/>
      <family val="2"/>
      <scheme val="minor"/>
    </font>
    <font>
      <sz val="12"/>
      <name val="Calibri"/>
      <family val="2"/>
      <scheme val="minor"/>
    </font>
    <font>
      <sz val="11"/>
      <color theme="0"/>
      <name val="ArialMT"/>
      <family val="2"/>
    </font>
    <font>
      <i/>
      <sz val="12"/>
      <color theme="1"/>
      <name val="Calibri"/>
      <family val="2"/>
      <scheme val="minor"/>
    </font>
  </fonts>
  <fills count="20">
    <fill>
      <patternFill patternType="none"/>
    </fill>
    <fill>
      <patternFill patternType="gray125"/>
    </fill>
    <fill>
      <patternFill patternType="solid">
        <fgColor theme="4"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patternFill>
    </fill>
    <fill>
      <patternFill patternType="solid">
        <fgColor theme="4"/>
        <bgColor indexed="64"/>
      </patternFill>
    </fill>
    <fill>
      <patternFill patternType="solid">
        <fgColor rgb="FF008000"/>
        <bgColor indexed="64"/>
      </patternFill>
    </fill>
    <fill>
      <patternFill patternType="solid">
        <fgColor rgb="FF660066"/>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6"/>
      </patternFill>
    </fill>
    <fill>
      <patternFill patternType="solid">
        <fgColor theme="6"/>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bgColor indexed="64"/>
      </patternFill>
    </fill>
    <fill>
      <patternFill patternType="solid">
        <fgColor theme="0" tint="-0.14999847407452621"/>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right/>
      <top/>
      <bottom style="medium">
        <color auto="1"/>
      </bottom>
      <diagonal/>
    </border>
    <border>
      <left style="thin">
        <color auto="1"/>
      </left>
      <right style="thin">
        <color auto="1"/>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
      <left/>
      <right/>
      <top/>
      <bottom style="thick">
        <color theme="4"/>
      </bottom>
      <diagonal/>
    </border>
    <border>
      <left/>
      <right/>
      <top style="thin">
        <color theme="4"/>
      </top>
      <bottom style="double">
        <color theme="4"/>
      </bottom>
      <diagonal/>
    </border>
    <border>
      <left/>
      <right/>
      <top style="thin">
        <color theme="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auto="1"/>
      </right>
      <top style="thin">
        <color auto="1"/>
      </top>
      <bottom style="thin">
        <color auto="1"/>
      </bottom>
      <diagonal/>
    </border>
    <border>
      <left style="thin">
        <color auto="1"/>
      </left>
      <right/>
      <top style="thin">
        <color auto="1"/>
      </top>
      <bottom/>
      <diagonal/>
    </border>
  </borders>
  <cellStyleXfs count="137">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9" fontId="2"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7" fillId="0" borderId="10" applyNumberFormat="0" applyFill="0" applyAlignment="0" applyProtection="0"/>
    <xf numFmtId="0" fontId="3" fillId="0" borderId="11" applyNumberFormat="0" applyFill="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9" fillId="5" borderId="0" applyNumberFormat="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1" fillId="13" borderId="0" applyNumberFormat="0" applyBorder="0" applyAlignment="0" applyProtection="0"/>
  </cellStyleXfs>
  <cellXfs count="68">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justify" vertical="center" wrapText="1"/>
    </xf>
    <xf numFmtId="0" fontId="3" fillId="0" borderId="0" xfId="0" applyFont="1" applyAlignment="1">
      <alignment horizontal="justify" vertical="center" wrapText="1"/>
    </xf>
    <xf numFmtId="0" fontId="3"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justify" vertical="center" wrapText="1"/>
    </xf>
    <xf numFmtId="0" fontId="3" fillId="0" borderId="1" xfId="0" applyFont="1" applyBorder="1" applyAlignment="1">
      <alignment horizontal="center" vertical="center" wrapText="1"/>
    </xf>
    <xf numFmtId="0" fontId="0" fillId="0" borderId="2" xfId="0" applyBorder="1" applyAlignment="1">
      <alignment horizontal="center" vertical="center" wrapText="1"/>
    </xf>
    <xf numFmtId="0" fontId="3" fillId="0" borderId="2" xfId="0" applyFont="1" applyBorder="1" applyAlignment="1">
      <alignment horizontal="center" vertical="center" wrapText="1"/>
    </xf>
    <xf numFmtId="164" fontId="6" fillId="0" borderId="3" xfId="13" applyNumberFormat="1" applyFont="1" applyBorder="1" applyAlignment="1">
      <alignment vertical="center" wrapText="1"/>
    </xf>
    <xf numFmtId="0" fontId="0" fillId="0" borderId="4" xfId="0" applyBorder="1" applyAlignment="1">
      <alignment horizontal="center" vertical="center" wrapText="1"/>
    </xf>
    <xf numFmtId="0" fontId="0" fillId="0" borderId="4" xfId="0" applyBorder="1" applyAlignment="1">
      <alignment horizontal="justify" vertical="center" wrapText="1"/>
    </xf>
    <xf numFmtId="0" fontId="0" fillId="0" borderId="5" xfId="0" applyBorder="1" applyAlignment="1">
      <alignment horizontal="center" vertical="center" wrapText="1"/>
    </xf>
    <xf numFmtId="0" fontId="0" fillId="0" borderId="5" xfId="0" applyBorder="1" applyAlignment="1">
      <alignment horizontal="justify" vertical="center" wrapText="1"/>
    </xf>
    <xf numFmtId="0" fontId="0" fillId="0" borderId="6" xfId="0" applyBorder="1" applyAlignment="1">
      <alignment horizontal="center" vertical="center" wrapText="1"/>
    </xf>
    <xf numFmtId="0" fontId="0" fillId="0" borderId="7" xfId="0" applyBorder="1" applyAlignment="1">
      <alignment horizontal="justify" vertical="center" wrapText="1"/>
    </xf>
    <xf numFmtId="0" fontId="0" fillId="0" borderId="8" xfId="0" applyBorder="1" applyAlignment="1">
      <alignment horizontal="justify" vertical="center" wrapText="1"/>
    </xf>
    <xf numFmtId="0" fontId="0" fillId="0" borderId="9" xfId="0" applyBorder="1" applyAlignment="1">
      <alignment horizontal="center" vertical="center" wrapText="1"/>
    </xf>
    <xf numFmtId="0" fontId="3" fillId="0" borderId="0" xfId="0" applyFont="1" applyAlignment="1">
      <alignment vertical="center" wrapText="1"/>
    </xf>
    <xf numFmtId="0" fontId="3" fillId="0" borderId="12" xfId="129" applyBorder="1" applyAlignment="1">
      <alignment horizontal="center" vertical="center" wrapText="1"/>
    </xf>
    <xf numFmtId="0" fontId="9" fillId="5" borderId="0" xfId="133" applyAlignment="1">
      <alignment horizontal="center" vertical="center" wrapText="1"/>
    </xf>
    <xf numFmtId="0" fontId="3" fillId="2" borderId="0" xfId="130" applyFont="1" applyAlignment="1">
      <alignment horizontal="center" vertical="center" wrapText="1"/>
    </xf>
    <xf numFmtId="0" fontId="8" fillId="6" borderId="0" xfId="0" applyFont="1" applyFill="1" applyAlignment="1">
      <alignment vertical="center" wrapText="1"/>
    </xf>
    <xf numFmtId="0" fontId="3" fillId="3" borderId="0" xfId="131" applyFont="1" applyAlignment="1">
      <alignment horizontal="center" vertical="center" wrapText="1"/>
    </xf>
    <xf numFmtId="0" fontId="8" fillId="7" borderId="0" xfId="0" applyFont="1" applyFill="1" applyAlignment="1">
      <alignment vertical="center" wrapText="1"/>
    </xf>
    <xf numFmtId="0" fontId="3" fillId="4" borderId="0" xfId="132" applyFont="1" applyAlignment="1">
      <alignment horizontal="center" vertical="center" wrapText="1"/>
    </xf>
    <xf numFmtId="0" fontId="8" fillId="8" borderId="0" xfId="0" applyFont="1" applyFill="1" applyAlignment="1">
      <alignment vertical="center" wrapText="1"/>
    </xf>
    <xf numFmtId="164" fontId="6" fillId="0" borderId="3" xfId="13" applyNumberFormat="1" applyFont="1" applyBorder="1" applyAlignment="1">
      <alignment horizontal="center" vertical="center" wrapText="1"/>
    </xf>
    <xf numFmtId="0" fontId="7" fillId="0" borderId="10" xfId="128" applyAlignment="1">
      <alignment horizontal="center" vertical="center" wrapText="1"/>
    </xf>
    <xf numFmtId="0" fontId="10" fillId="0" borderId="1" xfId="0" applyFont="1" applyBorder="1" applyAlignment="1">
      <alignment horizontal="justify" vertical="center" wrapText="1"/>
    </xf>
    <xf numFmtId="0" fontId="3" fillId="9" borderId="0" xfId="0" applyFont="1" applyFill="1" applyAlignment="1">
      <alignment horizontal="justify" vertical="center" wrapText="1"/>
    </xf>
    <xf numFmtId="0" fontId="3" fillId="10" borderId="0" xfId="0" applyFont="1" applyFill="1" applyAlignment="1">
      <alignment horizontal="justify" vertical="center" wrapText="1"/>
    </xf>
    <xf numFmtId="0" fontId="3" fillId="10" borderId="0" xfId="0" applyFont="1" applyFill="1" applyAlignment="1">
      <alignment horizontal="center" vertical="center" wrapText="1"/>
    </xf>
    <xf numFmtId="0" fontId="3" fillId="9" borderId="0" xfId="0" applyFont="1" applyFill="1" applyAlignment="1">
      <alignment horizontal="center" vertical="center" wrapText="1"/>
    </xf>
    <xf numFmtId="0" fontId="0" fillId="11" borderId="1" xfId="0" applyFill="1" applyBorder="1" applyAlignment="1">
      <alignment horizontal="justify" vertical="center" wrapText="1"/>
    </xf>
    <xf numFmtId="0" fontId="9" fillId="9" borderId="0" xfId="133" applyFill="1" applyAlignment="1">
      <alignment horizontal="center" vertical="center" wrapText="1"/>
    </xf>
    <xf numFmtId="0" fontId="0" fillId="12" borderId="1" xfId="0" applyFill="1" applyBorder="1" applyAlignment="1">
      <alignment horizontal="justify" vertical="center" wrapText="1"/>
    </xf>
    <xf numFmtId="0" fontId="0" fillId="0" borderId="1" xfId="0" applyBorder="1" applyAlignment="1">
      <alignment vertical="center" wrapText="1"/>
    </xf>
    <xf numFmtId="164" fontId="6" fillId="0" borderId="6" xfId="13" applyNumberFormat="1" applyFont="1" applyBorder="1" applyAlignment="1">
      <alignment vertical="center" wrapText="1"/>
    </xf>
    <xf numFmtId="0" fontId="11" fillId="13" borderId="0" xfId="136" applyAlignment="1">
      <alignment horizontal="center" vertical="center" wrapText="1"/>
    </xf>
    <xf numFmtId="0" fontId="3" fillId="14" borderId="0" xfId="0" applyFont="1" applyFill="1" applyAlignment="1">
      <alignment horizontal="center" vertical="center" wrapText="1"/>
    </xf>
    <xf numFmtId="0" fontId="3" fillId="14" borderId="0" xfId="0" applyFont="1" applyFill="1" applyAlignment="1">
      <alignment horizontal="justify" vertical="center" wrapText="1"/>
    </xf>
    <xf numFmtId="0" fontId="3" fillId="15" borderId="0" xfId="0" applyFont="1" applyFill="1" applyAlignment="1">
      <alignment horizontal="justify" vertical="center" wrapText="1"/>
    </xf>
    <xf numFmtId="0" fontId="3" fillId="15" borderId="0" xfId="0" applyFont="1" applyFill="1" applyAlignment="1">
      <alignment horizontal="center" vertical="center" wrapText="1"/>
    </xf>
    <xf numFmtId="0" fontId="0" fillId="0" borderId="9" xfId="0" applyBorder="1" applyAlignment="1">
      <alignment vertical="center" wrapText="1"/>
    </xf>
    <xf numFmtId="0" fontId="3" fillId="16" borderId="0" xfId="0" applyFont="1" applyFill="1" applyAlignment="1">
      <alignment horizontal="center" vertical="center" wrapText="1"/>
    </xf>
    <xf numFmtId="0" fontId="3" fillId="16" borderId="0" xfId="0" applyFont="1" applyFill="1" applyAlignment="1">
      <alignment horizontal="justify" vertical="center" wrapText="1"/>
    </xf>
    <xf numFmtId="0" fontId="3" fillId="17" borderId="0" xfId="0" applyFont="1" applyFill="1" applyAlignment="1">
      <alignment horizontal="center" vertical="center" wrapText="1"/>
    </xf>
    <xf numFmtId="0" fontId="3" fillId="17" borderId="0" xfId="0" applyFont="1" applyFill="1" applyAlignment="1">
      <alignment horizontal="justify" vertical="center" wrapText="1"/>
    </xf>
    <xf numFmtId="164" fontId="0" fillId="0" borderId="0" xfId="0" applyNumberFormat="1" applyAlignment="1">
      <alignment vertical="center" wrapText="1"/>
    </xf>
    <xf numFmtId="0" fontId="0" fillId="0" borderId="14" xfId="0" applyBorder="1" applyAlignment="1">
      <alignment vertical="center" wrapText="1"/>
    </xf>
    <xf numFmtId="0" fontId="3" fillId="0" borderId="9" xfId="0" applyFont="1" applyBorder="1" applyAlignment="1">
      <alignment horizontal="center" vertical="center" wrapText="1"/>
    </xf>
    <xf numFmtId="0" fontId="0" fillId="0" borderId="13" xfId="0" applyBorder="1" applyAlignment="1">
      <alignment horizontal="center" vertical="center" wrapText="1"/>
    </xf>
    <xf numFmtId="0" fontId="3" fillId="0" borderId="13" xfId="0" applyFont="1" applyBorder="1" applyAlignment="1">
      <alignment horizontal="center" vertical="center" wrapText="1"/>
    </xf>
    <xf numFmtId="0" fontId="0" fillId="12" borderId="7" xfId="0" applyFill="1" applyBorder="1" applyAlignment="1">
      <alignment horizontal="justify" vertical="center" wrapText="1"/>
    </xf>
    <xf numFmtId="0" fontId="12" fillId="0" borderId="1" xfId="0" applyFont="1" applyBorder="1" applyAlignment="1">
      <alignment horizontal="justify" vertical="center" wrapText="1"/>
    </xf>
    <xf numFmtId="0" fontId="3" fillId="0" borderId="14" xfId="0" applyFont="1" applyBorder="1" applyAlignment="1">
      <alignment horizontal="center" vertical="center" wrapText="1"/>
    </xf>
    <xf numFmtId="0" fontId="12" fillId="0" borderId="7" xfId="0" applyFont="1" applyBorder="1" applyAlignment="1">
      <alignment horizontal="justify" vertical="center" wrapText="1"/>
    </xf>
    <xf numFmtId="0" fontId="0" fillId="0" borderId="13" xfId="0" applyBorder="1" applyAlignment="1">
      <alignment vertical="center" wrapText="1"/>
    </xf>
    <xf numFmtId="0" fontId="10" fillId="12" borderId="1" xfId="0" applyFont="1" applyFill="1" applyBorder="1" applyAlignment="1">
      <alignment horizontal="justify" vertical="center" wrapText="1"/>
    </xf>
    <xf numFmtId="0" fontId="3" fillId="0" borderId="15" xfId="0" applyFont="1" applyBorder="1" applyAlignment="1">
      <alignment horizontal="center" vertical="center" wrapText="1"/>
    </xf>
    <xf numFmtId="0" fontId="3" fillId="18" borderId="0" xfId="0" applyFont="1" applyFill="1" applyAlignment="1">
      <alignment horizontal="center" vertical="center" wrapText="1"/>
    </xf>
    <xf numFmtId="0" fontId="3" fillId="18" borderId="0" xfId="0" applyFont="1" applyFill="1" applyAlignment="1">
      <alignment horizontal="justify" vertical="center" wrapText="1"/>
    </xf>
    <xf numFmtId="0" fontId="3" fillId="19" borderId="0" xfId="0" applyFont="1" applyFill="1" applyAlignment="1">
      <alignment vertical="center" wrapText="1"/>
    </xf>
    <xf numFmtId="164" fontId="6" fillId="0" borderId="0" xfId="13" applyNumberFormat="1" applyFont="1" applyBorder="1" applyAlignment="1">
      <alignment horizontal="center" vertical="center" wrapText="1"/>
    </xf>
    <xf numFmtId="0" fontId="3" fillId="0" borderId="0" xfId="0" applyFont="1" applyAlignment="1">
      <alignment horizontal="center" vertical="center" wrapText="1"/>
    </xf>
  </cellXfs>
  <cellStyles count="137">
    <cellStyle name="40% - Énfasis1" xfId="130" builtinId="31"/>
    <cellStyle name="40% - Énfasis3" xfId="131" builtinId="39"/>
    <cellStyle name="40% - Énfasis4" xfId="132" builtinId="43"/>
    <cellStyle name="Encabezado 1" xfId="128" builtinId="16"/>
    <cellStyle name="Énfasis3" xfId="136" builtinId="37"/>
    <cellStyle name="Énfasis5" xfId="133" builtinId="4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4" builtinId="8" hidden="1"/>
    <cellStyle name="Hipervínculo" xfId="16" builtinId="8" hidden="1"/>
    <cellStyle name="Hipervínculo" xfId="18" builtinId="8" hidden="1"/>
    <cellStyle name="Hipervínculo" xfId="20" builtinId="8" hidden="1"/>
    <cellStyle name="Hipervínculo" xfId="22" builtinId="8" hidden="1"/>
    <cellStyle name="Hipervínculo" xfId="24" builtinId="8" hidden="1"/>
    <cellStyle name="Hipervínculo" xfId="26" builtinId="8" hidden="1"/>
    <cellStyle name="Hipervínculo" xfId="28" builtinId="8" hidden="1"/>
    <cellStyle name="Hipervínculo" xfId="30" builtinId="8" hidden="1"/>
    <cellStyle name="Hipervínculo" xfId="32" builtinId="8" hidden="1"/>
    <cellStyle name="Hipervínculo" xfId="34" builtinId="8" hidden="1"/>
    <cellStyle name="Hipervínculo" xfId="36" builtinId="8" hidden="1"/>
    <cellStyle name="Hipervínculo" xfId="38" builtinId="8" hidden="1"/>
    <cellStyle name="Hipervínculo" xfId="40" builtinId="8" hidden="1"/>
    <cellStyle name="Hipervínculo" xfId="42" builtinId="8" hidden="1"/>
    <cellStyle name="Hipervínculo" xfId="44" builtinId="8" hidden="1"/>
    <cellStyle name="Hipervínculo" xfId="46" builtinId="8" hidden="1"/>
    <cellStyle name="Hipervínculo" xfId="48" builtinId="8" hidden="1"/>
    <cellStyle name="Hipervínculo" xfId="50" builtinId="8" hidden="1"/>
    <cellStyle name="Hipervínculo" xfId="52" builtinId="8" hidden="1"/>
    <cellStyle name="Hipervínculo" xfId="54" builtinId="8" hidden="1"/>
    <cellStyle name="Hipervínculo" xfId="56" builtinId="8" hidden="1"/>
    <cellStyle name="Hipervínculo" xfId="58" builtinId="8" hidden="1"/>
    <cellStyle name="Hipervínculo" xfId="60" builtinId="8" hidden="1"/>
    <cellStyle name="Hipervínculo" xfId="62" builtinId="8" hidden="1"/>
    <cellStyle name="Hipervínculo" xfId="64" builtinId="8" hidden="1"/>
    <cellStyle name="Hipervínculo" xfId="66" builtinId="8" hidden="1"/>
    <cellStyle name="Hipervínculo" xfId="68" builtinId="8" hidden="1"/>
    <cellStyle name="Hipervínculo" xfId="70" builtinId="8" hidden="1"/>
    <cellStyle name="Hipervínculo" xfId="72" builtinId="8" hidden="1"/>
    <cellStyle name="Hipervínculo" xfId="74" builtinId="8" hidden="1"/>
    <cellStyle name="Hipervínculo" xfId="76" builtinId="8" hidden="1"/>
    <cellStyle name="Hipervínculo" xfId="78" builtinId="8" hidden="1"/>
    <cellStyle name="Hipervínculo" xfId="80" builtinId="8" hidden="1"/>
    <cellStyle name="Hipervínculo" xfId="82" builtinId="8" hidden="1"/>
    <cellStyle name="Hipervínculo" xfId="84" builtinId="8" hidden="1"/>
    <cellStyle name="Hipervínculo" xfId="86" builtinId="8" hidden="1"/>
    <cellStyle name="Hipervínculo" xfId="88" builtinId="8" hidden="1"/>
    <cellStyle name="Hipervínculo" xfId="90" builtinId="8" hidden="1"/>
    <cellStyle name="Hipervínculo" xfId="92" builtinId="8" hidden="1"/>
    <cellStyle name="Hipervínculo" xfId="94" builtinId="8" hidden="1"/>
    <cellStyle name="Hipervínculo" xfId="96" builtinId="8" hidden="1"/>
    <cellStyle name="Hipervínculo" xfId="98" builtinId="8" hidden="1"/>
    <cellStyle name="Hipervínculo" xfId="100" builtinId="8" hidden="1"/>
    <cellStyle name="Hipervínculo" xfId="102" builtinId="8" hidden="1"/>
    <cellStyle name="Hipervínculo" xfId="104" builtinId="8" hidden="1"/>
    <cellStyle name="Hipervínculo" xfId="106" builtinId="8" hidden="1"/>
    <cellStyle name="Hipervínculo" xfId="108" builtinId="8" hidden="1"/>
    <cellStyle name="Hipervínculo" xfId="110" builtinId="8" hidden="1"/>
    <cellStyle name="Hipervínculo" xfId="112" builtinId="8" hidden="1"/>
    <cellStyle name="Hipervínculo" xfId="114" builtinId="8" hidden="1"/>
    <cellStyle name="Hipervínculo" xfId="116" builtinId="8" hidden="1"/>
    <cellStyle name="Hipervínculo" xfId="118" builtinId="8" hidden="1"/>
    <cellStyle name="Hipervínculo" xfId="120" builtinId="8" hidden="1"/>
    <cellStyle name="Hipervínculo" xfId="122" builtinId="8" hidden="1"/>
    <cellStyle name="Hipervínculo" xfId="124" builtinId="8" hidden="1"/>
    <cellStyle name="Hipervínculo" xfId="126" builtinId="8" hidden="1"/>
    <cellStyle name="Hipervínculo" xfId="134" builtinId="8" hidden="1"/>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5" builtinId="9" hidden="1"/>
    <cellStyle name="Hipervínculo visitado" xfId="17" builtinId="9" hidden="1"/>
    <cellStyle name="Hipervínculo visitado" xfId="19" builtinId="9" hidden="1"/>
    <cellStyle name="Hipervínculo visitado" xfId="21" builtinId="9" hidden="1"/>
    <cellStyle name="Hipervínculo visitado" xfId="23" builtinId="9" hidden="1"/>
    <cellStyle name="Hipervínculo visitado" xfId="25" builtinId="9" hidden="1"/>
    <cellStyle name="Hipervínculo visitado" xfId="27" builtinId="9" hidden="1"/>
    <cellStyle name="Hipervínculo visitado" xfId="29" builtinId="9" hidden="1"/>
    <cellStyle name="Hipervínculo visitado" xfId="31" builtinId="9" hidden="1"/>
    <cellStyle name="Hipervínculo visitado" xfId="33" builtinId="9" hidden="1"/>
    <cellStyle name="Hipervínculo visitado" xfId="35" builtinId="9" hidden="1"/>
    <cellStyle name="Hipervínculo visitado" xfId="37" builtinId="9" hidden="1"/>
    <cellStyle name="Hipervínculo visitado" xfId="39" builtinId="9" hidden="1"/>
    <cellStyle name="Hipervínculo visitado" xfId="41" builtinId="9" hidden="1"/>
    <cellStyle name="Hipervínculo visitado" xfId="43" builtinId="9" hidden="1"/>
    <cellStyle name="Hipervínculo visitado" xfId="45" builtinId="9" hidden="1"/>
    <cellStyle name="Hipervínculo visitado" xfId="47" builtinId="9" hidden="1"/>
    <cellStyle name="Hipervínculo visitado" xfId="49" builtinId="9" hidden="1"/>
    <cellStyle name="Hipervínculo visitado" xfId="51" builtinId="9" hidden="1"/>
    <cellStyle name="Hipervínculo visitado" xfId="53" builtinId="9" hidden="1"/>
    <cellStyle name="Hipervínculo visitado" xfId="55" builtinId="9" hidden="1"/>
    <cellStyle name="Hipervínculo visitado" xfId="57" builtinId="9" hidden="1"/>
    <cellStyle name="Hipervínculo visitado" xfId="59" builtinId="9" hidden="1"/>
    <cellStyle name="Hipervínculo visitado" xfId="61" builtinId="9" hidden="1"/>
    <cellStyle name="Hipervínculo visitado" xfId="63" builtinId="9" hidden="1"/>
    <cellStyle name="Hipervínculo visitado" xfId="65" builtinId="9" hidden="1"/>
    <cellStyle name="Hipervínculo visitado" xfId="67" builtinId="9" hidden="1"/>
    <cellStyle name="Hipervínculo visitado" xfId="69" builtinId="9" hidden="1"/>
    <cellStyle name="Hipervínculo visitado" xfId="71" builtinId="9" hidden="1"/>
    <cellStyle name="Hipervínculo visitado" xfId="73" builtinId="9" hidden="1"/>
    <cellStyle name="Hipervínculo visitado" xfId="75"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91" builtinId="9" hidden="1"/>
    <cellStyle name="Hipervínculo visitado" xfId="93" builtinId="9" hidden="1"/>
    <cellStyle name="Hipervínculo visitado" xfId="95" builtinId="9" hidden="1"/>
    <cellStyle name="Hipervínculo visitado" xfId="97" builtinId="9" hidden="1"/>
    <cellStyle name="Hipervínculo visitado" xfId="99" builtinId="9" hidden="1"/>
    <cellStyle name="Hipervínculo visitado" xfId="101" builtinId="9" hidden="1"/>
    <cellStyle name="Hipervínculo visitado" xfId="103" builtinId="9" hidden="1"/>
    <cellStyle name="Hipervínculo visitado" xfId="105" builtinId="9" hidden="1"/>
    <cellStyle name="Hipervínculo visitado" xfId="107" builtinId="9" hidden="1"/>
    <cellStyle name="Hipervínculo visitado" xfId="109" builtinId="9" hidden="1"/>
    <cellStyle name="Hipervínculo visitado" xfId="111" builtinId="9" hidden="1"/>
    <cellStyle name="Hipervínculo visitado" xfId="113" builtinId="9" hidden="1"/>
    <cellStyle name="Hipervínculo visitado" xfId="115" builtinId="9" hidden="1"/>
    <cellStyle name="Hipervínculo visitado" xfId="117" builtinId="9" hidden="1"/>
    <cellStyle name="Hipervínculo visitado" xfId="119" builtinId="9" hidden="1"/>
    <cellStyle name="Hipervínculo visitado" xfId="121" builtinId="9" hidden="1"/>
    <cellStyle name="Hipervínculo visitado" xfId="123" builtinId="9" hidden="1"/>
    <cellStyle name="Hipervínculo visitado" xfId="125" builtinId="9" hidden="1"/>
    <cellStyle name="Hipervínculo visitado" xfId="127" builtinId="9" hidden="1"/>
    <cellStyle name="Hipervínculo visitado" xfId="135" builtinId="9" hidden="1"/>
    <cellStyle name="Normal" xfId="0" builtinId="0"/>
    <cellStyle name="Porcentaje" xfId="13" builtinId="5"/>
    <cellStyle name="Total" xfId="129" builtinId="25"/>
  </cellStyles>
  <dxfs count="690">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FF0000"/>
        </patternFill>
      </fill>
    </dxf>
    <dxf>
      <font>
        <b/>
        <i val="0"/>
      </font>
      <fill>
        <patternFill>
          <bgColor rgb="FF00B05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FF0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FFC000"/>
        </patternFill>
      </fill>
    </dxf>
    <dxf>
      <font>
        <b/>
        <i val="0"/>
      </font>
      <fill>
        <patternFill>
          <bgColor rgb="FF00B050"/>
        </patternFill>
      </fill>
    </dxf>
    <dxf>
      <font>
        <b/>
        <i val="0"/>
      </font>
      <fill>
        <patternFill>
          <bgColor rgb="FFFF0000"/>
        </patternFill>
      </fill>
    </dxf>
    <dxf>
      <font>
        <b/>
        <i val="0"/>
      </font>
      <fill>
        <patternFill>
          <bgColor rgb="FFFF0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00B0F0"/>
        </patternFill>
      </fill>
    </dxf>
    <dxf>
      <font>
        <b/>
        <i val="0"/>
      </font>
      <fill>
        <patternFill>
          <bgColor rgb="FFFF000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FFC00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50"/>
        </patternFill>
      </fill>
    </dxf>
    <dxf>
      <font>
        <b/>
        <i val="0"/>
      </font>
      <fill>
        <patternFill>
          <bgColor rgb="FFFF0000"/>
        </patternFill>
      </fill>
    </dxf>
    <dxf>
      <font>
        <b/>
        <i val="0"/>
      </font>
      <fill>
        <patternFill>
          <bgColor rgb="FFFFC000"/>
        </patternFill>
      </fill>
    </dxf>
    <dxf>
      <font>
        <b/>
        <i val="0"/>
      </font>
      <fill>
        <patternFill>
          <bgColor rgb="FF00B0F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FF0000"/>
        </patternFill>
      </fill>
    </dxf>
    <dxf>
      <font>
        <b/>
        <i val="0"/>
      </font>
      <fill>
        <patternFill>
          <bgColor rgb="FFFFC000"/>
        </patternFill>
      </fill>
    </dxf>
    <dxf>
      <font>
        <b/>
        <i val="0"/>
      </font>
      <fill>
        <patternFill>
          <bgColor rgb="FFFF0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font>
      <fill>
        <patternFill>
          <bgColor rgb="FF00B0F0"/>
        </patternFill>
      </fill>
    </dxf>
    <dxf>
      <font>
        <b/>
        <i val="0"/>
      </font>
      <fill>
        <patternFill>
          <bgColor rgb="FF00B05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00B0F0"/>
        </patternFill>
      </fill>
    </dxf>
    <dxf>
      <font>
        <b/>
        <i val="0"/>
      </font>
      <fill>
        <patternFill>
          <bgColor rgb="FF00B050"/>
        </patternFill>
      </fill>
    </dxf>
    <dxf>
      <font>
        <b/>
        <i val="0"/>
      </font>
      <fill>
        <patternFill>
          <bgColor rgb="FFFFC000"/>
        </patternFill>
      </fill>
    </dxf>
    <dxf>
      <font>
        <b/>
        <i val="0"/>
      </font>
      <fill>
        <patternFill>
          <bgColor rgb="FFFF0000"/>
        </patternFill>
      </fill>
    </dxf>
    <dxf>
      <font>
        <b/>
        <i val="0"/>
      </font>
      <fill>
        <patternFill>
          <bgColor rgb="FFFF0000"/>
        </patternFill>
      </fill>
    </dxf>
    <dxf>
      <font>
        <b/>
        <i val="0"/>
      </font>
      <fill>
        <patternFill>
          <bgColor rgb="FF00B050"/>
        </patternFill>
      </fill>
    </dxf>
    <dxf>
      <font>
        <b/>
        <i val="0"/>
      </font>
      <fill>
        <patternFill>
          <bgColor rgb="FF00B0F0"/>
        </patternFill>
      </fill>
    </dxf>
    <dxf>
      <font>
        <b/>
        <i val="0"/>
      </font>
      <fill>
        <patternFill>
          <bgColor rgb="FFFFC000"/>
        </patternFill>
      </fill>
    </dxf>
    <dxf>
      <font>
        <b/>
        <i val="0"/>
        <strike val="0"/>
        <condense val="0"/>
        <extend val="0"/>
        <outline val="0"/>
        <shadow val="0"/>
        <u val="none"/>
        <vertAlign val="baseline"/>
        <sz val="14"/>
        <color auto="1"/>
        <name val="Arial"/>
        <family val="2"/>
        <scheme val="none"/>
      </font>
      <numFmt numFmtId="164" formatCode="0.0%"/>
      <alignment horizontal="center" vertical="center" textRotation="0" wrapText="1" indent="0" justifyLastLine="0" shrinkToFit="0" readingOrder="0"/>
    </dxf>
    <dxf>
      <font>
        <b/>
        <i val="0"/>
        <strike val="0"/>
        <condense val="0"/>
        <extend val="0"/>
        <outline val="0"/>
        <shadow val="0"/>
        <u val="none"/>
        <vertAlign val="baseline"/>
        <sz val="14"/>
        <color auto="1"/>
        <name val="Arial"/>
        <family val="2"/>
        <scheme val="none"/>
      </font>
      <numFmt numFmtId="164" formatCode="0.0%"/>
      <alignment horizontal="center" vertical="center" textRotation="0" wrapText="1" indent="0" justifyLastLine="0" shrinkToFit="0" readingOrder="0"/>
    </dxf>
    <dxf>
      <font>
        <b/>
        <i val="0"/>
        <strike val="0"/>
        <condense val="0"/>
        <extend val="0"/>
        <outline val="0"/>
        <shadow val="0"/>
        <u val="none"/>
        <vertAlign val="baseline"/>
        <sz val="14"/>
        <color auto="1"/>
        <name val="Arial"/>
        <family val="2"/>
        <scheme val="none"/>
      </font>
      <numFmt numFmtId="164" formatCode="0.0%"/>
      <alignment horizontal="center" vertical="center" textRotation="0" wrapText="1" indent="0" justifyLastLine="0" shrinkToFit="0" readingOrder="0"/>
    </dxf>
    <dxf>
      <font>
        <b/>
        <i val="0"/>
        <strike val="0"/>
        <condense val="0"/>
        <extend val="0"/>
        <outline val="0"/>
        <shadow val="0"/>
        <u val="none"/>
        <vertAlign val="baseline"/>
        <sz val="14"/>
        <color auto="1"/>
        <name val="Arial"/>
        <family val="2"/>
        <scheme val="none"/>
      </font>
      <numFmt numFmtId="164" formatCode="0.0%"/>
      <alignment horizontal="center" vertical="center" textRotation="0" wrapText="1" indent="0" justifyLastLine="0" shrinkToFit="0" readingOrder="0"/>
    </dxf>
    <dxf>
      <font>
        <b/>
        <i val="0"/>
        <strike val="0"/>
        <condense val="0"/>
        <extend val="0"/>
        <outline val="0"/>
        <shadow val="0"/>
        <u val="none"/>
        <vertAlign val="baseline"/>
        <sz val="14"/>
        <color auto="1"/>
        <name val="Arial"/>
        <family val="2"/>
        <scheme val="none"/>
      </font>
      <numFmt numFmtId="164" formatCode="0.0%"/>
      <alignment horizontal="center" vertical="center" textRotation="0" wrapText="1" indent="0" justifyLastLine="0" shrinkToFit="0" readingOrder="0"/>
    </dxf>
    <dxf>
      <font>
        <b/>
        <i val="0"/>
        <strike val="0"/>
        <condense val="0"/>
        <extend val="0"/>
        <outline val="0"/>
        <shadow val="0"/>
        <u val="none"/>
        <vertAlign val="baseline"/>
        <sz val="14"/>
        <color auto="1"/>
        <name val="Arial"/>
        <family val="2"/>
        <scheme val="none"/>
      </font>
      <numFmt numFmtId="164" formatCode="0.0%"/>
      <alignment horizontal="center" vertical="center" textRotation="0" wrapText="1" indent="0" justifyLastLine="0" shrinkToFit="0" readingOrder="0"/>
    </dxf>
    <dxf>
      <font>
        <b/>
        <i val="0"/>
        <strike val="0"/>
        <condense val="0"/>
        <extend val="0"/>
        <outline val="0"/>
        <shadow val="0"/>
        <u val="none"/>
        <vertAlign val="baseline"/>
        <sz val="14"/>
        <color auto="1"/>
        <name val="Arial"/>
        <family val="2"/>
        <scheme val="none"/>
      </font>
      <numFmt numFmtId="164" formatCode="0.0%"/>
      <alignment horizontal="center" vertical="center" textRotation="0" wrapText="1" indent="0" justifyLastLine="0" shrinkToFit="0" readingOrder="0"/>
    </dxf>
    <dxf>
      <font>
        <b/>
        <i val="0"/>
        <strike val="0"/>
        <condense val="0"/>
        <extend val="0"/>
        <outline val="0"/>
        <shadow val="0"/>
        <u val="none"/>
        <vertAlign val="baseline"/>
        <sz val="14"/>
        <color auto="1"/>
        <name val="Arial"/>
        <family val="2"/>
        <scheme val="none"/>
      </font>
      <numFmt numFmtId="164" formatCode="0.0%"/>
      <alignment horizontal="center" vertical="center" textRotation="0" wrapText="1" indent="0" justifyLastLine="0" shrinkToFit="0" readingOrder="0"/>
    </dxf>
    <dxf>
      <font>
        <b/>
        <i val="0"/>
        <strike val="0"/>
        <condense val="0"/>
        <extend val="0"/>
        <outline val="0"/>
        <shadow val="0"/>
        <u val="none"/>
        <vertAlign val="baseline"/>
        <sz val="14"/>
        <color auto="1"/>
        <name val="Arial"/>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s>
  <tableStyles count="1" defaultTableStyle="TableStyleMedium9" defaultPivotStyle="PivotStyleMedium4">
    <tableStyle name="Invisible" pivot="0" table="0" count="0" xr9:uid="{6E6F0D2C-CAE0-466B-9C47-901B361AB8B6}"/>
  </tableStyles>
  <colors>
    <mruColors>
      <color rgb="FFF798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Contenido!$B$7</c:f>
          <c:strCache>
            <c:ptCount val="1"/>
            <c:pt idx="0">
              <c:v>GESTIÓN DE LA CALIDAD</c:v>
            </c:pt>
          </c:strCache>
        </c:strRef>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s-419"/>
        </a:p>
      </c:txPr>
    </c:title>
    <c:autoTitleDeleted val="0"/>
    <c:plotArea>
      <c:layout/>
      <c:barChart>
        <c:barDir val="col"/>
        <c:grouping val="clustered"/>
        <c:varyColors val="0"/>
        <c:ser>
          <c:idx val="0"/>
          <c:order val="0"/>
          <c:tx>
            <c:strRef>
              <c:f>Contenido!$B$6</c:f>
              <c:strCache>
                <c:ptCount val="1"/>
                <c:pt idx="0">
                  <c:v>RESULTADO ESPERADO</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Contenido!$C$5:$I$5</c:f>
              <c:strCache>
                <c:ptCount val="7"/>
                <c:pt idx="0">
                  <c:v>Contexto de la Organización</c:v>
                </c:pt>
                <c:pt idx="1">
                  <c:v>Liderazgo</c:v>
                </c:pt>
                <c:pt idx="2">
                  <c:v>Planificación</c:v>
                </c:pt>
                <c:pt idx="3">
                  <c:v>Apoyo</c:v>
                </c:pt>
                <c:pt idx="4">
                  <c:v>Operación</c:v>
                </c:pt>
                <c:pt idx="5">
                  <c:v>Evaluación del Desempeño</c:v>
                </c:pt>
                <c:pt idx="6">
                  <c:v>Mejora</c:v>
                </c:pt>
              </c:strCache>
            </c:strRef>
          </c:cat>
          <c:val>
            <c:numRef>
              <c:f>Contenido!$C$6:$I$6</c:f>
              <c:numCache>
                <c:formatCode>0.0%</c:formatCode>
                <c:ptCount val="7"/>
                <c:pt idx="0">
                  <c:v>0.98</c:v>
                </c:pt>
                <c:pt idx="1">
                  <c:v>0.98</c:v>
                </c:pt>
                <c:pt idx="2">
                  <c:v>0.98</c:v>
                </c:pt>
                <c:pt idx="3">
                  <c:v>0.98</c:v>
                </c:pt>
                <c:pt idx="4">
                  <c:v>0.98</c:v>
                </c:pt>
                <c:pt idx="5">
                  <c:v>0.98</c:v>
                </c:pt>
                <c:pt idx="6">
                  <c:v>0.98</c:v>
                </c:pt>
              </c:numCache>
            </c:numRef>
          </c:val>
          <c:extLst>
            <c:ext xmlns:c16="http://schemas.microsoft.com/office/drawing/2014/chart" uri="{C3380CC4-5D6E-409C-BE32-E72D297353CC}">
              <c16:uniqueId val="{00000000-AC32-4ABE-A1D2-0D44E7D7DE77}"/>
            </c:ext>
          </c:extLst>
        </c:ser>
        <c:ser>
          <c:idx val="1"/>
          <c:order val="1"/>
          <c:tx>
            <c:strRef>
              <c:f>Contenido!$B$7</c:f>
              <c:strCache>
                <c:ptCount val="1"/>
                <c:pt idx="0">
                  <c:v>GESTIÓN DE LA CALIDAD</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Contenido!$C$5:$I$5</c:f>
              <c:strCache>
                <c:ptCount val="7"/>
                <c:pt idx="0">
                  <c:v>Contexto de la Organización</c:v>
                </c:pt>
                <c:pt idx="1">
                  <c:v>Liderazgo</c:v>
                </c:pt>
                <c:pt idx="2">
                  <c:v>Planificación</c:v>
                </c:pt>
                <c:pt idx="3">
                  <c:v>Apoyo</c:v>
                </c:pt>
                <c:pt idx="4">
                  <c:v>Operación</c:v>
                </c:pt>
                <c:pt idx="5">
                  <c:v>Evaluación del Desempeño</c:v>
                </c:pt>
                <c:pt idx="6">
                  <c:v>Mejora</c:v>
                </c:pt>
              </c:strCache>
            </c:strRef>
          </c:cat>
          <c:val>
            <c:numRef>
              <c:f>Contenido!$C$7:$I$7</c:f>
              <c:numCache>
                <c:formatCode>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AC32-4ABE-A1D2-0D44E7D7DE77}"/>
            </c:ext>
          </c:extLst>
        </c:ser>
        <c:dLbls>
          <c:dLblPos val="inEnd"/>
          <c:showLegendKey val="0"/>
          <c:showVal val="1"/>
          <c:showCatName val="0"/>
          <c:showSerName val="0"/>
          <c:showPercent val="0"/>
          <c:showBubbleSize val="0"/>
        </c:dLbls>
        <c:gapWidth val="80"/>
        <c:overlap val="25"/>
        <c:axId val="470684016"/>
        <c:axId val="470684848"/>
      </c:barChart>
      <c:catAx>
        <c:axId val="47068401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65000"/>
                    <a:lumOff val="35000"/>
                  </a:schemeClr>
                </a:solidFill>
                <a:latin typeface="+mn-lt"/>
                <a:ea typeface="+mn-ea"/>
                <a:cs typeface="+mn-cs"/>
              </a:defRPr>
            </a:pPr>
            <a:endParaRPr lang="es-419"/>
          </a:p>
        </c:txPr>
        <c:crossAx val="470684848"/>
        <c:crosses val="autoZero"/>
        <c:auto val="1"/>
        <c:lblAlgn val="ctr"/>
        <c:lblOffset val="100"/>
        <c:noMultiLvlLbl val="0"/>
      </c:catAx>
      <c:valAx>
        <c:axId val="470684848"/>
        <c:scaling>
          <c:orientation val="minMax"/>
        </c:scaling>
        <c:delete val="0"/>
        <c:axPos val="l"/>
        <c:majorGridlines>
          <c:spPr>
            <a:ln w="9525" cap="flat" cmpd="sng" algn="ctr">
              <a:solidFill>
                <a:schemeClr val="tx1">
                  <a:lumMod val="5000"/>
                  <a:lumOff val="9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lumMod val="65000"/>
                    <a:lumOff val="35000"/>
                  </a:schemeClr>
                </a:solidFill>
                <a:latin typeface="+mn-lt"/>
                <a:ea typeface="+mn-ea"/>
                <a:cs typeface="+mn-cs"/>
              </a:defRPr>
            </a:pPr>
            <a:endParaRPr lang="es-419"/>
          </a:p>
        </c:txPr>
        <c:crossAx val="47068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b="1"/>
      </a:pPr>
      <a:endParaRPr lang="es-419"/>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Contenido!$B$8</c:f>
          <c:strCache>
            <c:ptCount val="1"/>
            <c:pt idx="0">
              <c:v>GESTIÓN MEDIOAMBIENTAL</c:v>
            </c:pt>
          </c:strCache>
        </c:strRef>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s-419"/>
        </a:p>
      </c:txPr>
    </c:title>
    <c:autoTitleDeleted val="0"/>
    <c:plotArea>
      <c:layout/>
      <c:barChart>
        <c:barDir val="col"/>
        <c:grouping val="clustered"/>
        <c:varyColors val="0"/>
        <c:ser>
          <c:idx val="1"/>
          <c:order val="0"/>
          <c:tx>
            <c:strRef>
              <c:f>Contenido!$B$6</c:f>
              <c:strCache>
                <c:ptCount val="1"/>
                <c:pt idx="0">
                  <c:v>RESULTADO ESPERADO</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Contenido!$C$5:$I$5</c:f>
              <c:strCache>
                <c:ptCount val="7"/>
                <c:pt idx="0">
                  <c:v>Contexto de la Organización</c:v>
                </c:pt>
                <c:pt idx="1">
                  <c:v>Liderazgo</c:v>
                </c:pt>
                <c:pt idx="2">
                  <c:v>Planificación</c:v>
                </c:pt>
                <c:pt idx="3">
                  <c:v>Apoyo</c:v>
                </c:pt>
                <c:pt idx="4">
                  <c:v>Operación</c:v>
                </c:pt>
                <c:pt idx="5">
                  <c:v>Evaluación del Desempeño</c:v>
                </c:pt>
                <c:pt idx="6">
                  <c:v>Mejora</c:v>
                </c:pt>
              </c:strCache>
            </c:strRef>
          </c:cat>
          <c:val>
            <c:numRef>
              <c:f>Contenido!$C$6:$I$6</c:f>
              <c:numCache>
                <c:formatCode>0.0%</c:formatCode>
                <c:ptCount val="7"/>
                <c:pt idx="0">
                  <c:v>0.98</c:v>
                </c:pt>
                <c:pt idx="1">
                  <c:v>0.98</c:v>
                </c:pt>
                <c:pt idx="2">
                  <c:v>0.98</c:v>
                </c:pt>
                <c:pt idx="3">
                  <c:v>0.98</c:v>
                </c:pt>
                <c:pt idx="4">
                  <c:v>0.98</c:v>
                </c:pt>
                <c:pt idx="5">
                  <c:v>0.98</c:v>
                </c:pt>
                <c:pt idx="6">
                  <c:v>0.98</c:v>
                </c:pt>
              </c:numCache>
            </c:numRef>
          </c:val>
          <c:extLst>
            <c:ext xmlns:c16="http://schemas.microsoft.com/office/drawing/2014/chart" uri="{C3380CC4-5D6E-409C-BE32-E72D297353CC}">
              <c16:uniqueId val="{00000003-188E-487A-8646-07F0CB08D639}"/>
            </c:ext>
          </c:extLst>
        </c:ser>
        <c:ser>
          <c:idx val="0"/>
          <c:order val="1"/>
          <c:tx>
            <c:strRef>
              <c:f>Contenido!$B$8</c:f>
              <c:strCache>
                <c:ptCount val="1"/>
                <c:pt idx="0">
                  <c:v>GESTIÓN MEDIOAMBIENTAL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Contenido!$C$5:$I$5</c:f>
              <c:strCache>
                <c:ptCount val="7"/>
                <c:pt idx="0">
                  <c:v>Contexto de la Organización</c:v>
                </c:pt>
                <c:pt idx="1">
                  <c:v>Liderazgo</c:v>
                </c:pt>
                <c:pt idx="2">
                  <c:v>Planificación</c:v>
                </c:pt>
                <c:pt idx="3">
                  <c:v>Apoyo</c:v>
                </c:pt>
                <c:pt idx="4">
                  <c:v>Operación</c:v>
                </c:pt>
                <c:pt idx="5">
                  <c:v>Evaluación del Desempeño</c:v>
                </c:pt>
                <c:pt idx="6">
                  <c:v>Mejora</c:v>
                </c:pt>
              </c:strCache>
            </c:strRef>
          </c:cat>
          <c:val>
            <c:numRef>
              <c:f>Contenido!$C$8:$I$8</c:f>
              <c:numCache>
                <c:formatCode>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188E-487A-8646-07F0CB08D639}"/>
            </c:ext>
          </c:extLst>
        </c:ser>
        <c:dLbls>
          <c:dLblPos val="inEnd"/>
          <c:showLegendKey val="0"/>
          <c:showVal val="1"/>
          <c:showCatName val="0"/>
          <c:showSerName val="0"/>
          <c:showPercent val="0"/>
          <c:showBubbleSize val="0"/>
        </c:dLbls>
        <c:gapWidth val="80"/>
        <c:overlap val="25"/>
        <c:axId val="470684016"/>
        <c:axId val="470684848"/>
      </c:barChart>
      <c:catAx>
        <c:axId val="47068401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65000"/>
                    <a:lumOff val="35000"/>
                  </a:schemeClr>
                </a:solidFill>
                <a:latin typeface="+mn-lt"/>
                <a:ea typeface="+mn-ea"/>
                <a:cs typeface="+mn-cs"/>
              </a:defRPr>
            </a:pPr>
            <a:endParaRPr lang="es-419"/>
          </a:p>
        </c:txPr>
        <c:crossAx val="470684848"/>
        <c:crosses val="autoZero"/>
        <c:auto val="1"/>
        <c:lblAlgn val="ctr"/>
        <c:lblOffset val="100"/>
        <c:noMultiLvlLbl val="0"/>
      </c:catAx>
      <c:valAx>
        <c:axId val="470684848"/>
        <c:scaling>
          <c:orientation val="minMax"/>
        </c:scaling>
        <c:delete val="0"/>
        <c:axPos val="l"/>
        <c:majorGridlines>
          <c:spPr>
            <a:ln w="9525" cap="flat" cmpd="sng" algn="ctr">
              <a:solidFill>
                <a:schemeClr val="tx1">
                  <a:lumMod val="5000"/>
                  <a:lumOff val="9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lumMod val="65000"/>
                    <a:lumOff val="35000"/>
                  </a:schemeClr>
                </a:solidFill>
                <a:latin typeface="+mn-lt"/>
                <a:ea typeface="+mn-ea"/>
                <a:cs typeface="+mn-cs"/>
              </a:defRPr>
            </a:pPr>
            <a:endParaRPr lang="es-419"/>
          </a:p>
        </c:txPr>
        <c:crossAx val="47068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b="1"/>
      </a:pPr>
      <a:endParaRPr lang="es-419"/>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Contenido!$B$9</c:f>
          <c:strCache>
            <c:ptCount val="1"/>
            <c:pt idx="0">
              <c:v>GESTIÓN DE LA SEGURIDAD Y SALUD EN EL TRABAJO</c:v>
            </c:pt>
          </c:strCache>
        </c:strRef>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s-419"/>
        </a:p>
      </c:txPr>
    </c:title>
    <c:autoTitleDeleted val="0"/>
    <c:plotArea>
      <c:layout/>
      <c:barChart>
        <c:barDir val="col"/>
        <c:grouping val="clustered"/>
        <c:varyColors val="0"/>
        <c:ser>
          <c:idx val="0"/>
          <c:order val="0"/>
          <c:tx>
            <c:strRef>
              <c:f>Contenido!$B$6</c:f>
              <c:strCache>
                <c:ptCount val="1"/>
                <c:pt idx="0">
                  <c:v>RESULTADO ESPERADO</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Contenido!$C$5:$I$5</c:f>
              <c:strCache>
                <c:ptCount val="7"/>
                <c:pt idx="0">
                  <c:v>Contexto de la Organización</c:v>
                </c:pt>
                <c:pt idx="1">
                  <c:v>Liderazgo</c:v>
                </c:pt>
                <c:pt idx="2">
                  <c:v>Planificación</c:v>
                </c:pt>
                <c:pt idx="3">
                  <c:v>Apoyo</c:v>
                </c:pt>
                <c:pt idx="4">
                  <c:v>Operación</c:v>
                </c:pt>
                <c:pt idx="5">
                  <c:v>Evaluación del Desempeño</c:v>
                </c:pt>
                <c:pt idx="6">
                  <c:v>Mejora</c:v>
                </c:pt>
              </c:strCache>
            </c:strRef>
          </c:cat>
          <c:val>
            <c:numRef>
              <c:f>Contenido!$C$6:$I$6</c:f>
              <c:numCache>
                <c:formatCode>0.0%</c:formatCode>
                <c:ptCount val="7"/>
                <c:pt idx="0">
                  <c:v>0.98</c:v>
                </c:pt>
                <c:pt idx="1">
                  <c:v>0.98</c:v>
                </c:pt>
                <c:pt idx="2">
                  <c:v>0.98</c:v>
                </c:pt>
                <c:pt idx="3">
                  <c:v>0.98</c:v>
                </c:pt>
                <c:pt idx="4">
                  <c:v>0.98</c:v>
                </c:pt>
                <c:pt idx="5">
                  <c:v>0.98</c:v>
                </c:pt>
                <c:pt idx="6">
                  <c:v>0.98</c:v>
                </c:pt>
              </c:numCache>
            </c:numRef>
          </c:val>
          <c:extLst>
            <c:ext xmlns:c16="http://schemas.microsoft.com/office/drawing/2014/chart" uri="{C3380CC4-5D6E-409C-BE32-E72D297353CC}">
              <c16:uniqueId val="{00000003-C08D-4045-A3FF-057D7DBFDAFC}"/>
            </c:ext>
          </c:extLst>
        </c:ser>
        <c:ser>
          <c:idx val="1"/>
          <c:order val="1"/>
          <c:tx>
            <c:strRef>
              <c:f>Contenido!$B$9</c:f>
              <c:strCache>
                <c:ptCount val="1"/>
                <c:pt idx="0">
                  <c:v>GESTIÓN DE LA SEGURIDAD Y SALUD EN EL TRABAJO</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s-419"/>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Contenido!$C$5:$I$5</c:f>
              <c:strCache>
                <c:ptCount val="7"/>
                <c:pt idx="0">
                  <c:v>Contexto de la Organización</c:v>
                </c:pt>
                <c:pt idx="1">
                  <c:v>Liderazgo</c:v>
                </c:pt>
                <c:pt idx="2">
                  <c:v>Planificación</c:v>
                </c:pt>
                <c:pt idx="3">
                  <c:v>Apoyo</c:v>
                </c:pt>
                <c:pt idx="4">
                  <c:v>Operación</c:v>
                </c:pt>
                <c:pt idx="5">
                  <c:v>Evaluación del Desempeño</c:v>
                </c:pt>
                <c:pt idx="6">
                  <c:v>Mejora</c:v>
                </c:pt>
              </c:strCache>
            </c:strRef>
          </c:cat>
          <c:val>
            <c:numRef>
              <c:f>Contenido!$C$9:$I$9</c:f>
              <c:numCache>
                <c:formatCode>0.0%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C08D-4045-A3FF-057D7DBFDAFC}"/>
            </c:ext>
          </c:extLst>
        </c:ser>
        <c:dLbls>
          <c:dLblPos val="inEnd"/>
          <c:showLegendKey val="0"/>
          <c:showVal val="1"/>
          <c:showCatName val="0"/>
          <c:showSerName val="0"/>
          <c:showPercent val="0"/>
          <c:showBubbleSize val="0"/>
        </c:dLbls>
        <c:gapWidth val="80"/>
        <c:overlap val="25"/>
        <c:axId val="470684016"/>
        <c:axId val="470684848"/>
      </c:barChart>
      <c:catAx>
        <c:axId val="47068401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65000"/>
                    <a:lumOff val="35000"/>
                  </a:schemeClr>
                </a:solidFill>
                <a:latin typeface="+mn-lt"/>
                <a:ea typeface="+mn-ea"/>
                <a:cs typeface="+mn-cs"/>
              </a:defRPr>
            </a:pPr>
            <a:endParaRPr lang="es-419"/>
          </a:p>
        </c:txPr>
        <c:crossAx val="470684848"/>
        <c:crosses val="autoZero"/>
        <c:auto val="1"/>
        <c:lblAlgn val="ctr"/>
        <c:lblOffset val="100"/>
        <c:noMultiLvlLbl val="0"/>
      </c:catAx>
      <c:valAx>
        <c:axId val="470684848"/>
        <c:scaling>
          <c:orientation val="minMax"/>
        </c:scaling>
        <c:delete val="0"/>
        <c:axPos val="l"/>
        <c:majorGridlines>
          <c:spPr>
            <a:ln w="9525" cap="flat" cmpd="sng" algn="ctr">
              <a:solidFill>
                <a:schemeClr val="tx1">
                  <a:lumMod val="5000"/>
                  <a:lumOff val="9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lumMod val="65000"/>
                    <a:lumOff val="35000"/>
                  </a:schemeClr>
                </a:solidFill>
                <a:latin typeface="+mn-lt"/>
                <a:ea typeface="+mn-ea"/>
                <a:cs typeface="+mn-cs"/>
              </a:defRPr>
            </a:pPr>
            <a:endParaRPr lang="es-419"/>
          </a:p>
        </c:txPr>
        <c:crossAx val="47068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b="1"/>
      </a:pPr>
      <a:endParaRPr lang="es-419"/>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iagrams/_rels/data1.xml.rels><?xml version="1.0" encoding="UTF-8" standalone="yes"?>
<Relationships xmlns="http://schemas.openxmlformats.org/package/2006/relationships"><Relationship Id="rId3" Type="http://schemas.openxmlformats.org/officeDocument/2006/relationships/hyperlink" Target="#Contenido!F5"/><Relationship Id="rId7" Type="http://schemas.openxmlformats.org/officeDocument/2006/relationships/hyperlink" Target="#Contenido!J5"/><Relationship Id="rId2" Type="http://schemas.openxmlformats.org/officeDocument/2006/relationships/hyperlink" Target="#Contenido!E5"/><Relationship Id="rId1" Type="http://schemas.openxmlformats.org/officeDocument/2006/relationships/hyperlink" Target="#Contenido!D5"/><Relationship Id="rId6" Type="http://schemas.openxmlformats.org/officeDocument/2006/relationships/hyperlink" Target="#Contenido!I5"/><Relationship Id="rId5" Type="http://schemas.openxmlformats.org/officeDocument/2006/relationships/hyperlink" Target="#Contenido!H5"/><Relationship Id="rId4" Type="http://schemas.openxmlformats.org/officeDocument/2006/relationships/hyperlink" Target="#Contenido!G5"/></Relationships>
</file>

<file path=xl/diagrams/_rels/data2.xml.rels><?xml version="1.0" encoding="UTF-8" standalone="yes"?>
<Relationships xmlns="http://schemas.openxmlformats.org/package/2006/relationships"><Relationship Id="rId3" Type="http://schemas.openxmlformats.org/officeDocument/2006/relationships/hyperlink" Target="#Contenido!F5"/><Relationship Id="rId7" Type="http://schemas.openxmlformats.org/officeDocument/2006/relationships/hyperlink" Target="#Contenido!J5"/><Relationship Id="rId2" Type="http://schemas.openxmlformats.org/officeDocument/2006/relationships/hyperlink" Target="#Contenido!E5"/><Relationship Id="rId1" Type="http://schemas.openxmlformats.org/officeDocument/2006/relationships/hyperlink" Target="#Contenido!D5"/><Relationship Id="rId6" Type="http://schemas.openxmlformats.org/officeDocument/2006/relationships/hyperlink" Target="#Contenido!I5"/><Relationship Id="rId5" Type="http://schemas.openxmlformats.org/officeDocument/2006/relationships/hyperlink" Target="#Contenido!H5"/><Relationship Id="rId4" Type="http://schemas.openxmlformats.org/officeDocument/2006/relationships/hyperlink" Target="#Contenido!G5"/></Relationships>
</file>

<file path=xl/diagrams/_rels/data3.xml.rels><?xml version="1.0" encoding="UTF-8" standalone="yes"?>
<Relationships xmlns="http://schemas.openxmlformats.org/package/2006/relationships"><Relationship Id="rId3" Type="http://schemas.openxmlformats.org/officeDocument/2006/relationships/hyperlink" Target="#Contenido!F5"/><Relationship Id="rId7" Type="http://schemas.openxmlformats.org/officeDocument/2006/relationships/hyperlink" Target="#Contenido!J5"/><Relationship Id="rId2" Type="http://schemas.openxmlformats.org/officeDocument/2006/relationships/hyperlink" Target="#Contenido!E5"/><Relationship Id="rId1" Type="http://schemas.openxmlformats.org/officeDocument/2006/relationships/hyperlink" Target="#Contenido!D5"/><Relationship Id="rId6" Type="http://schemas.openxmlformats.org/officeDocument/2006/relationships/hyperlink" Target="#Contenido!I5"/><Relationship Id="rId5" Type="http://schemas.openxmlformats.org/officeDocument/2006/relationships/hyperlink" Target="#Contenido!H5"/><Relationship Id="rId4" Type="http://schemas.openxmlformats.org/officeDocument/2006/relationships/hyperlink" Target="#Contenido!G5"/></Relationships>
</file>

<file path=xl/diagrams/colors1.xml><?xml version="1.0" encoding="utf-8"?>
<dgm:colorsDef xmlns:dgm="http://schemas.openxmlformats.org/drawingml/2006/diagram" xmlns:a="http://schemas.openxmlformats.org/drawingml/2006/main" uniqueId="urn:microsoft.com/office/officeart/2005/8/colors/accent1_2#1">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3_5#1">
  <dgm:title val=""/>
  <dgm:desc val=""/>
  <dgm:catLst>
    <dgm:cat type="accent3" pri="11500"/>
  </dgm:catLst>
  <dgm:styleLbl name="node0">
    <dgm:fillClrLst meth="cycle">
      <a:schemeClr val="accent3">
        <a:alpha val="80000"/>
      </a:schemeClr>
    </dgm:fillClrLst>
    <dgm:linClrLst meth="repeat">
      <a:schemeClr val="lt1"/>
    </dgm:linClrLst>
    <dgm:effectClrLst/>
    <dgm:txLinClrLst/>
    <dgm:txFillClrLst/>
    <dgm:txEffectClrLst/>
  </dgm:styleLbl>
  <dgm:styleLbl name="node1">
    <dgm:fillClrLst>
      <a:schemeClr val="accent3">
        <a:alpha val="90000"/>
      </a:schemeClr>
      <a:schemeClr val="accent3">
        <a:alpha val="50000"/>
      </a:schemeClr>
    </dgm:fillClrLst>
    <dgm:linClrLst meth="repeat">
      <a:schemeClr val="lt1"/>
    </dgm:linClrLst>
    <dgm:effectClrLst/>
    <dgm:txLinClrLst/>
    <dgm:txFillClrLst/>
    <dgm:txEffectClrLst/>
  </dgm:styleLbl>
  <dgm:styleLbl name="alignNode1">
    <dgm:fillClrLst>
      <a:schemeClr val="accent3">
        <a:alpha val="90000"/>
      </a:schemeClr>
      <a:schemeClr val="accent3">
        <a:alpha val="50000"/>
      </a:schemeClr>
    </dgm:fillClrLst>
    <dgm:linClrLst>
      <a:schemeClr val="accent3">
        <a:alpha val="90000"/>
      </a:schemeClr>
      <a:schemeClr val="accent3">
        <a:alpha val="50000"/>
      </a:schemeClr>
    </dgm:linClrLst>
    <dgm:effectClrLst/>
    <dgm:txLinClrLst/>
    <dgm:txFillClrLst/>
    <dgm:txEffectClrLst/>
  </dgm:styleLbl>
  <dgm:styleLbl name="lnNode1">
    <dgm:fillClrLst>
      <a:schemeClr val="accent3">
        <a:shade val="90000"/>
      </a:schemeClr>
      <a:schemeClr val="accent3">
        <a:alpha val="50000"/>
        <a:tint val="50000"/>
      </a:schemeClr>
    </dgm:fillClrLst>
    <dgm:linClrLst meth="repeat">
      <a:schemeClr val="lt1"/>
    </dgm:linClrLst>
    <dgm:effectClrLst/>
    <dgm:txLinClrLst/>
    <dgm:txFillClrLst/>
    <dgm:txEffectClrLst/>
  </dgm:styleLbl>
  <dgm:styleLbl name="vennNode1">
    <dgm:fillClrLst>
      <a:schemeClr val="accent3">
        <a:shade val="80000"/>
        <a:alpha val="50000"/>
      </a:schemeClr>
      <a:schemeClr val="accent3">
        <a:alpha val="80000"/>
      </a:schemeClr>
    </dgm:fillClrLst>
    <dgm:linClrLst meth="repeat">
      <a:schemeClr val="lt1"/>
    </dgm:linClrLst>
    <dgm:effectClrLst/>
    <dgm:txLinClrLst/>
    <dgm:txFillClrLst/>
    <dgm:txEffectClrLst/>
  </dgm:styleLbl>
  <dgm:styleLbl name="node2">
    <dgm:fillClrLst>
      <a:schemeClr val="accent3">
        <a:alpha val="70000"/>
      </a:schemeClr>
    </dgm:fillClrLst>
    <dgm:linClrLst meth="repeat">
      <a:schemeClr val="lt1"/>
    </dgm:linClrLst>
    <dgm:effectClrLst/>
    <dgm:txLinClrLst/>
    <dgm:txFillClrLst/>
    <dgm:txEffectClrLst/>
  </dgm:styleLbl>
  <dgm:styleLbl name="node3">
    <dgm:fillClrLst>
      <a:schemeClr val="accent3">
        <a:alpha val="50000"/>
      </a:schemeClr>
    </dgm:fillClrLst>
    <dgm:linClrLst meth="repeat">
      <a:schemeClr val="lt1"/>
    </dgm:linClrLst>
    <dgm:effectClrLst/>
    <dgm:txLinClrLst/>
    <dgm:txFillClrLst/>
    <dgm:txEffectClrLst/>
  </dgm:styleLbl>
  <dgm:styleLbl name="node4">
    <dgm:fillClrLst>
      <a:schemeClr val="accent3">
        <a:alpha val="30000"/>
      </a:schemeClr>
    </dgm:fillClrLst>
    <dgm:linClrLst meth="repeat">
      <a:schemeClr val="lt1"/>
    </dgm:linClrLst>
    <dgm:effectClrLst/>
    <dgm:txLinClrLst/>
    <dgm:txFillClrLst/>
    <dgm:txEffectClrLst/>
  </dgm:styleLbl>
  <dgm:styleLbl name="fgImgPlace1">
    <dgm:fillClrLst>
      <a:schemeClr val="accent3">
        <a:tint val="50000"/>
        <a:alpha val="90000"/>
      </a:schemeClr>
      <a:schemeClr val="accent3">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hade val="90000"/>
      </a:schemeClr>
      <a:schemeClr val="accent3">
        <a:tint val="50000"/>
      </a:schemeClr>
    </dgm:fillClrLst>
    <dgm:linClrLst>
      <a:schemeClr val="accent3">
        <a:shade val="90000"/>
      </a:schemeClr>
      <a:schemeClr val="accent3">
        <a:tint val="50000"/>
      </a:schemeClr>
    </dgm:linClrLst>
    <dgm:effectClrLst/>
    <dgm:txLinClrLst/>
    <dgm:txFillClrLst/>
    <dgm:txEffectClrLst/>
  </dgm:styleLbl>
  <dgm:styleLbl name="fgSibTrans2D1">
    <dgm:fillClrLst>
      <a:schemeClr val="accent3">
        <a:shade val="90000"/>
      </a:schemeClr>
      <a:schemeClr val="accent3">
        <a:tint val="50000"/>
      </a:schemeClr>
    </dgm:fillClrLst>
    <dgm:linClrLst>
      <a:schemeClr val="accent3">
        <a:shade val="90000"/>
      </a:schemeClr>
      <a:schemeClr val="accent3">
        <a:tint val="50000"/>
      </a:schemeClr>
    </dgm:linClrLst>
    <dgm:effectClrLst/>
    <dgm:txLinClrLst/>
    <dgm:txFillClrLst/>
    <dgm:txEffectClrLst/>
  </dgm:styleLbl>
  <dgm:styleLbl name="bgSibTrans2D1">
    <dgm:fillClrLst>
      <a:schemeClr val="accent3">
        <a:shade val="90000"/>
      </a:schemeClr>
      <a:schemeClr val="accent3">
        <a:tint val="50000"/>
      </a:schemeClr>
    </dgm:fillClrLst>
    <dgm:linClrLst>
      <a:schemeClr val="accent3">
        <a:shade val="90000"/>
      </a:schemeClr>
      <a:schemeClr val="accent3">
        <a:tint val="50000"/>
      </a:schemeClr>
    </dgm:linClrLst>
    <dgm:effectClrLst/>
    <dgm:txLinClrLst/>
    <dgm:txFillClrLst/>
    <dgm:txEffectClrLst/>
  </dgm:styleLbl>
  <dgm:styleLbl name="sibTrans1D1">
    <dgm:fillClrLst>
      <a:schemeClr val="accent3">
        <a:shade val="90000"/>
      </a:schemeClr>
      <a:schemeClr val="accent3">
        <a:tint val="50000"/>
      </a:schemeClr>
    </dgm:fillClrLst>
    <dgm:linClrLst>
      <a:schemeClr val="accent3">
        <a:shade val="90000"/>
      </a:schemeClr>
      <a:schemeClr val="accent3">
        <a:tint val="50000"/>
      </a:schemeClr>
    </dgm:linClrLst>
    <dgm:effectClrLst/>
    <dgm:txLinClrLst/>
    <dgm:txFillClrLst meth="repeat">
      <a:schemeClr val="tx1"/>
    </dgm:txFillClrLst>
    <dgm:txEffectClrLst/>
  </dgm:styleLbl>
  <dgm:styleLbl name="callout">
    <dgm:fillClrLst meth="repeat">
      <a:schemeClr val="accent3"/>
    </dgm:fillClrLst>
    <dgm:linClrLst meth="repeat">
      <a:schemeClr val="accent3"/>
    </dgm:linClrLst>
    <dgm:effectClrLst/>
    <dgm:txLinClrLst/>
    <dgm:txFillClrLst meth="repeat">
      <a:schemeClr val="tx1"/>
    </dgm:txFillClrLst>
    <dgm:txEffectClrLst/>
  </dgm:styleLbl>
  <dgm:styleLbl name="asst0">
    <dgm:fillClrLst meth="repeat">
      <a:schemeClr val="accent3">
        <a:alpha val="90000"/>
      </a:schemeClr>
    </dgm:fillClrLst>
    <dgm:linClrLst meth="repeat">
      <a:schemeClr val="lt1"/>
    </dgm:linClrLst>
    <dgm:effectClrLst/>
    <dgm:txLinClrLst/>
    <dgm:txFillClrLst/>
    <dgm:txEffectClrLst/>
  </dgm:styleLbl>
  <dgm:styleLbl name="asst1">
    <dgm:fillClrLst meth="repeat">
      <a:schemeClr val="accent3">
        <a:alpha val="90000"/>
      </a:schemeClr>
    </dgm:fillClrLst>
    <dgm:linClrLst meth="repeat">
      <a:schemeClr val="lt1"/>
    </dgm:linClrLst>
    <dgm:effectClrLst/>
    <dgm:txLinClrLst/>
    <dgm:txFillClrLst/>
    <dgm:txEffectClrLst/>
  </dgm:styleLbl>
  <dgm:styleLbl name="asst2">
    <dgm:fillClrLst>
      <a:schemeClr val="accent3">
        <a:alpha val="90000"/>
      </a:schemeClr>
    </dgm:fillClrLst>
    <dgm:linClrLst meth="repeat">
      <a:schemeClr val="lt1"/>
    </dgm:linClrLst>
    <dgm:effectClrLst/>
    <dgm:txLinClrLst/>
    <dgm:txFillClrLst/>
    <dgm:txEffectClrLst/>
  </dgm:styleLbl>
  <dgm:styleLbl name="asst3">
    <dgm:fillClrLst>
      <a:schemeClr val="accent3">
        <a:alpha val="70000"/>
      </a:schemeClr>
    </dgm:fillClrLst>
    <dgm:linClrLst meth="repeat">
      <a:schemeClr val="lt1"/>
    </dgm:linClrLst>
    <dgm:effectClrLst/>
    <dgm:txLinClrLst/>
    <dgm:txFillClrLst/>
    <dgm:txEffectClrLst/>
  </dgm:styleLbl>
  <dgm:styleLbl name="asst4">
    <dgm:fillClrLst>
      <a:schemeClr val="accent3">
        <a:alpha val="50000"/>
      </a:schemeClr>
    </dgm:fillClrLst>
    <dgm:linClrLst meth="repeat">
      <a:schemeClr val="lt1"/>
    </dgm:linClrLst>
    <dgm:effectClrLst/>
    <dgm:txLinClrLst/>
    <dgm:txFillClrLst/>
    <dgm:txEffectClrLst/>
  </dgm:styleLbl>
  <dgm:styleLbl name="parChTrans2D1">
    <dgm:fillClrLst meth="repeat">
      <a:schemeClr val="accent3">
        <a:shade val="80000"/>
      </a:schemeClr>
    </dgm:fillClrLst>
    <dgm:linClrLst meth="repeat">
      <a:schemeClr val="accent3">
        <a:shade val="80000"/>
      </a:schemeClr>
    </dgm:linClrLst>
    <dgm:effectClrLst/>
    <dgm:txLinClrLst/>
    <dgm:txFillClrLst/>
    <dgm:txEffectClrLst/>
  </dgm:styleLbl>
  <dgm:styleLbl name="parChTrans2D2">
    <dgm:fillClrLst meth="repeat">
      <a:schemeClr val="accent3">
        <a:tint val="90000"/>
      </a:schemeClr>
    </dgm:fillClrLst>
    <dgm:linClrLst meth="repeat">
      <a:schemeClr val="accent3">
        <a:tint val="90000"/>
      </a:schemeClr>
    </dgm:linClrLst>
    <dgm:effectClrLst/>
    <dgm:txLinClrLst/>
    <dgm:txFillClrLst/>
    <dgm:txEffectClrLst/>
  </dgm:styleLbl>
  <dgm:styleLbl name="parChTrans2D3">
    <dgm:fillClrLst meth="repeat">
      <a:schemeClr val="accent3">
        <a:tint val="70000"/>
      </a:schemeClr>
    </dgm:fillClrLst>
    <dgm:linClrLst meth="repeat">
      <a:schemeClr val="accent3">
        <a:tint val="70000"/>
      </a:schemeClr>
    </dgm:linClrLst>
    <dgm:effectClrLst/>
    <dgm:txLinClrLst/>
    <dgm:txFillClrLst/>
    <dgm:txEffectClrLst/>
  </dgm:styleLbl>
  <dgm:styleLbl name="parChTrans2D4">
    <dgm:fillClrLst meth="repeat">
      <a:schemeClr val="accent3">
        <a:tint val="50000"/>
      </a:schemeClr>
    </dgm:fillClrLst>
    <dgm:linClrLst meth="repeat">
      <a:schemeClr val="accent3">
        <a:tint val="50000"/>
      </a:schemeClr>
    </dgm:linClrLst>
    <dgm:effectClrLst/>
    <dgm:txLinClrLst/>
    <dgm:txFillClrLst meth="repeat">
      <a:schemeClr val="dk1"/>
    </dgm:txFillClrLst>
    <dgm:txEffectClrLst/>
  </dgm:styleLbl>
  <dgm:styleLbl name="parChTrans1D1">
    <dgm:fillClrLst meth="repeat">
      <a:schemeClr val="accent3">
        <a:shade val="80000"/>
      </a:schemeClr>
    </dgm:fillClrLst>
    <dgm:linClrLst meth="repeat">
      <a:schemeClr val="accent3">
        <a:shade val="80000"/>
      </a:schemeClr>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3">
        <a:tint val="90000"/>
      </a:schemeClr>
    </dgm:linClrLst>
    <dgm:effectClrLst/>
    <dgm:txLinClrLst/>
    <dgm:txFillClrLst meth="repeat">
      <a:schemeClr val="tx1"/>
    </dgm:txFillClrLst>
    <dgm:txEffectClrLst/>
  </dgm:styleLbl>
  <dgm:styleLbl name="parChTrans1D3">
    <dgm:fillClrLst meth="repeat">
      <a:schemeClr val="accent3">
        <a:tint val="70000"/>
      </a:schemeClr>
    </dgm:fillClrLst>
    <dgm:linClrLst meth="repeat">
      <a:schemeClr val="accent3">
        <a:tint val="70000"/>
      </a:schemeClr>
    </dgm:linClrLst>
    <dgm:effectClrLst/>
    <dgm:txLinClrLst/>
    <dgm:txFillClrLst meth="repeat">
      <a:schemeClr val="tx1"/>
    </dgm:txFillClrLst>
    <dgm:txEffectClrLst/>
  </dgm:styleLbl>
  <dgm:styleLbl name="parChTrans1D4">
    <dgm:fillClrLst meth="repeat">
      <a:schemeClr val="accent3">
        <a:tint val="50000"/>
      </a:schemeClr>
    </dgm:fillClrLst>
    <dgm:linClrLst meth="repeat">
      <a:schemeClr val="accent3">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3">
        <a:alpha val="90000"/>
      </a:schemeClr>
      <a:schemeClr val="accent3">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alpha val="90000"/>
      </a:schemeClr>
      <a:schemeClr val="accent3">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alpha val="90000"/>
      </a:schemeClr>
      <a:schemeClr val="accent3">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3">
        <a:alpha val="90000"/>
      </a:schemeClr>
      <a:schemeClr val="accent3">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3">
        <a:alpha val="90000"/>
      </a:schemeClr>
      <a:schemeClr val="accent3">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3">
        <a:alpha val="90000"/>
      </a:schemeClr>
      <a:schemeClr val="accent3">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3"/>
    </dgm:linClrLst>
    <dgm:effectClrLst/>
    <dgm:txLinClrLst/>
    <dgm:txFillClrLst meth="repeat">
      <a:schemeClr val="dk1"/>
    </dgm:txFillClrLst>
    <dgm:txEffectClrLst/>
  </dgm:styleLbl>
  <dgm:styleLbl name="solidBgAcc1">
    <dgm:fillClrLst meth="repeat">
      <a:schemeClr val="lt1"/>
    </dgm:fillClrLst>
    <dgm:linClrLst meth="repeat">
      <a:schemeClr val="accent3"/>
    </dgm:linClrLst>
    <dgm:effectClrLst/>
    <dgm:txLinClrLst/>
    <dgm:txFillClrLst meth="repeat">
      <a:schemeClr val="dk1"/>
    </dgm:txFillClrLst>
    <dgm:txEffectClrLst/>
  </dgm:styleLbl>
  <dgm:styleLbl name="fgAccFollowNode1">
    <dgm:fillClrLst>
      <a:schemeClr val="accent3">
        <a:alpha val="90000"/>
        <a:tint val="40000"/>
      </a:schemeClr>
      <a:schemeClr val="accent3">
        <a:alpha val="5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align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bgAccFollowNode1">
    <dgm:fillClrLst meth="repeat">
      <a:schemeClr val="accent3">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3">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3">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3">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3">
        <a:tint val="50000"/>
      </a:schemeClr>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3">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0B9120C-A549-A64B-835B-49533DE71AD0}" type="doc">
      <dgm:prSet loTypeId="urn:microsoft.com/office/officeart/2005/8/layout/cycle3" loCatId="" qsTypeId="urn:microsoft.com/office/officeart/2005/8/quickstyle/simple4#1" qsCatId="simple" csTypeId="urn:microsoft.com/office/officeart/2005/8/colors/accent1_2#1" csCatId="accent1" phldr="1"/>
      <dgm:spPr/>
      <dgm:t>
        <a:bodyPr/>
        <a:lstStyle/>
        <a:p>
          <a:endParaRPr lang="es-ES_tradnl"/>
        </a:p>
      </dgm:t>
    </dgm:pt>
    <dgm:pt modelId="{C5F630DA-6FC6-6942-86FF-CD5F3B98837E}">
      <dgm:prSet phldrT="[Texto]"/>
      <dgm:spPr>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gradFill>
      </dgm:spPr>
      <dgm:t>
        <a:bodyPr/>
        <a:lstStyle/>
        <a:p>
          <a:r>
            <a:rPr lang="es-ES_tradnl"/>
            <a:t>Contexto de  la Organizaci</a:t>
          </a:r>
          <a:r>
            <a:rPr lang="es-ES"/>
            <a:t>ón</a:t>
          </a:r>
          <a:endParaRPr lang="es-ES_tradnl"/>
        </a:p>
      </dgm:t>
      <dgm:extLst>
        <a:ext uri="{E40237B7-FDA0-4F09-8148-C483321AD2D9}">
          <dgm14:cNvPr xmlns:dgm14="http://schemas.microsoft.com/office/drawing/2010/diagram" id="0" name="">
            <a:hlinkClick xmlns:r="http://schemas.openxmlformats.org/officeDocument/2006/relationships" r:id="rId1"/>
          </dgm14:cNvPr>
        </a:ext>
      </dgm:extLst>
    </dgm:pt>
    <dgm:pt modelId="{4CB9913C-0B3F-D942-81DC-9F063FC9C26E}" type="parTrans" cxnId="{07783BCD-36F9-DD4F-AB0D-4CC3F4ABE664}">
      <dgm:prSet/>
      <dgm:spPr/>
      <dgm:t>
        <a:bodyPr/>
        <a:lstStyle/>
        <a:p>
          <a:endParaRPr lang="es-ES_tradnl"/>
        </a:p>
      </dgm:t>
    </dgm:pt>
    <dgm:pt modelId="{262CD28D-CD8D-7441-846F-37EC34290FC9}" type="sibTrans" cxnId="{07783BCD-36F9-DD4F-AB0D-4CC3F4ABE664}">
      <dgm:prSet/>
      <dgm:spPr>
        <a:solidFill>
          <a:srgbClr val="00B0F0"/>
        </a:solidFill>
      </dgm:spPr>
      <dgm:t>
        <a:bodyPr/>
        <a:lstStyle/>
        <a:p>
          <a:endParaRPr lang="es-ES_tradnl"/>
        </a:p>
      </dgm:t>
    </dgm:pt>
    <dgm:pt modelId="{83064208-620F-E543-86A7-AB0A66EA9350}">
      <dgm:prSet phldrT="[Texto]"/>
      <dgm:spPr>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gradFill>
      </dgm:spPr>
      <dgm:t>
        <a:bodyPr/>
        <a:lstStyle/>
        <a:p>
          <a:r>
            <a:rPr lang="es-ES_tradnl"/>
            <a:t>Liderazgo</a:t>
          </a:r>
        </a:p>
      </dgm:t>
      <dgm:extLst>
        <a:ext uri="{E40237B7-FDA0-4F09-8148-C483321AD2D9}">
          <dgm14:cNvPr xmlns:dgm14="http://schemas.microsoft.com/office/drawing/2010/diagram" id="0" name="">
            <a:hlinkClick xmlns:r="http://schemas.openxmlformats.org/officeDocument/2006/relationships" r:id="rId2"/>
          </dgm14:cNvPr>
        </a:ext>
      </dgm:extLst>
    </dgm:pt>
    <dgm:pt modelId="{B05E9B28-1109-6549-9532-6F9E271E4097}" type="parTrans" cxnId="{D3D480EF-B880-4F4D-B2F6-A0D7E083A4BD}">
      <dgm:prSet/>
      <dgm:spPr/>
      <dgm:t>
        <a:bodyPr/>
        <a:lstStyle/>
        <a:p>
          <a:endParaRPr lang="es-ES_tradnl"/>
        </a:p>
      </dgm:t>
    </dgm:pt>
    <dgm:pt modelId="{F5DF3728-60E9-0941-87C2-5D1ED250F9FA}" type="sibTrans" cxnId="{D3D480EF-B880-4F4D-B2F6-A0D7E083A4BD}">
      <dgm:prSet/>
      <dgm:spPr/>
      <dgm:t>
        <a:bodyPr/>
        <a:lstStyle/>
        <a:p>
          <a:endParaRPr lang="es-ES_tradnl"/>
        </a:p>
      </dgm:t>
    </dgm:pt>
    <dgm:pt modelId="{FAC3CFE4-BD09-2D47-BD21-C848F6FCF570}">
      <dgm:prSet phldrT="[Texto]"/>
      <dgm:spPr>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gradFill>
      </dgm:spPr>
      <dgm:t>
        <a:bodyPr/>
        <a:lstStyle/>
        <a:p>
          <a:r>
            <a:rPr lang="es-ES_tradnl"/>
            <a:t>Planificaci</a:t>
          </a:r>
          <a:r>
            <a:rPr lang="es-ES"/>
            <a:t>ón</a:t>
          </a:r>
          <a:endParaRPr lang="es-ES_tradnl"/>
        </a:p>
      </dgm:t>
      <dgm:extLst>
        <a:ext uri="{E40237B7-FDA0-4F09-8148-C483321AD2D9}">
          <dgm14:cNvPr xmlns:dgm14="http://schemas.microsoft.com/office/drawing/2010/diagram" id="0" name="">
            <a:hlinkClick xmlns:r="http://schemas.openxmlformats.org/officeDocument/2006/relationships" r:id="rId3"/>
          </dgm14:cNvPr>
        </a:ext>
      </dgm:extLst>
    </dgm:pt>
    <dgm:pt modelId="{2D9E8D34-E437-5F43-99CC-2A0E989CCF70}" type="parTrans" cxnId="{DCE0FAF0-13AB-DD49-8D84-16FAC4268E90}">
      <dgm:prSet/>
      <dgm:spPr/>
      <dgm:t>
        <a:bodyPr/>
        <a:lstStyle/>
        <a:p>
          <a:endParaRPr lang="es-ES_tradnl"/>
        </a:p>
      </dgm:t>
    </dgm:pt>
    <dgm:pt modelId="{0D19A6F6-5BBB-9142-8A10-C98D9A516641}" type="sibTrans" cxnId="{DCE0FAF0-13AB-DD49-8D84-16FAC4268E90}">
      <dgm:prSet/>
      <dgm:spPr/>
      <dgm:t>
        <a:bodyPr/>
        <a:lstStyle/>
        <a:p>
          <a:endParaRPr lang="es-ES_tradnl"/>
        </a:p>
      </dgm:t>
    </dgm:pt>
    <dgm:pt modelId="{F576C54C-A0FD-E846-ACC7-2D141452DB4A}">
      <dgm:prSet phldrT="[Texto]"/>
      <dgm:spPr>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gradFill>
      </dgm:spPr>
      <dgm:t>
        <a:bodyPr/>
        <a:lstStyle/>
        <a:p>
          <a:r>
            <a:rPr lang="es-ES_tradnl"/>
            <a:t>Apoyo</a:t>
          </a:r>
        </a:p>
      </dgm:t>
      <dgm:extLst>
        <a:ext uri="{E40237B7-FDA0-4F09-8148-C483321AD2D9}">
          <dgm14:cNvPr xmlns:dgm14="http://schemas.microsoft.com/office/drawing/2010/diagram" id="0" name="">
            <a:hlinkClick xmlns:r="http://schemas.openxmlformats.org/officeDocument/2006/relationships" r:id="rId4"/>
          </dgm14:cNvPr>
        </a:ext>
      </dgm:extLst>
    </dgm:pt>
    <dgm:pt modelId="{7358B9C4-5699-3B40-B027-A7C79D9F25F4}" type="parTrans" cxnId="{E7AD0D1D-AAB9-D04E-A133-2A18A4EB39F0}">
      <dgm:prSet/>
      <dgm:spPr/>
      <dgm:t>
        <a:bodyPr/>
        <a:lstStyle/>
        <a:p>
          <a:endParaRPr lang="es-ES_tradnl"/>
        </a:p>
      </dgm:t>
    </dgm:pt>
    <dgm:pt modelId="{BE14CD04-9336-094B-9FE8-ACB0D1D79A74}" type="sibTrans" cxnId="{E7AD0D1D-AAB9-D04E-A133-2A18A4EB39F0}">
      <dgm:prSet/>
      <dgm:spPr/>
      <dgm:t>
        <a:bodyPr/>
        <a:lstStyle/>
        <a:p>
          <a:endParaRPr lang="es-ES_tradnl"/>
        </a:p>
      </dgm:t>
    </dgm:pt>
    <dgm:pt modelId="{CEBFDB80-762B-DB4A-A724-6B90DFDE3935}">
      <dgm:prSet phldrT="[Texto]"/>
      <dgm:spPr>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gradFill>
      </dgm:spPr>
      <dgm:t>
        <a:bodyPr/>
        <a:lstStyle/>
        <a:p>
          <a:r>
            <a:rPr lang="es-ES"/>
            <a:t>Operación</a:t>
          </a:r>
          <a:endParaRPr lang="es-ES_tradnl"/>
        </a:p>
      </dgm:t>
      <dgm:extLst>
        <a:ext uri="{E40237B7-FDA0-4F09-8148-C483321AD2D9}">
          <dgm14:cNvPr xmlns:dgm14="http://schemas.microsoft.com/office/drawing/2010/diagram" id="0" name="">
            <a:hlinkClick xmlns:r="http://schemas.openxmlformats.org/officeDocument/2006/relationships" r:id="rId5"/>
          </dgm14:cNvPr>
        </a:ext>
      </dgm:extLst>
    </dgm:pt>
    <dgm:pt modelId="{EF8657B6-6645-7248-86CA-61E9566E9BE3}" type="parTrans" cxnId="{01312813-C51E-104F-9F92-351F2B16F7E0}">
      <dgm:prSet/>
      <dgm:spPr/>
      <dgm:t>
        <a:bodyPr/>
        <a:lstStyle/>
        <a:p>
          <a:endParaRPr lang="es-ES_tradnl"/>
        </a:p>
      </dgm:t>
    </dgm:pt>
    <dgm:pt modelId="{33374FAE-2BD0-D94E-8519-0A13B2D12E8A}" type="sibTrans" cxnId="{01312813-C51E-104F-9F92-351F2B16F7E0}">
      <dgm:prSet/>
      <dgm:spPr/>
      <dgm:t>
        <a:bodyPr/>
        <a:lstStyle/>
        <a:p>
          <a:endParaRPr lang="es-ES_tradnl"/>
        </a:p>
      </dgm:t>
    </dgm:pt>
    <dgm:pt modelId="{70E6DC62-E0C9-4544-99E6-6184BDB3F0AE}">
      <dgm:prSet/>
      <dgm:spPr>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gradFill>
      </dgm:spPr>
      <dgm:t>
        <a:bodyPr/>
        <a:lstStyle/>
        <a:p>
          <a:r>
            <a:rPr lang="es-ES_tradnl"/>
            <a:t>Evaluaci</a:t>
          </a:r>
          <a:r>
            <a:rPr lang="es-ES"/>
            <a:t>ón del desempeño</a:t>
          </a:r>
          <a:endParaRPr lang="es-ES_tradnl"/>
        </a:p>
      </dgm:t>
      <dgm:extLst>
        <a:ext uri="{E40237B7-FDA0-4F09-8148-C483321AD2D9}">
          <dgm14:cNvPr xmlns:dgm14="http://schemas.microsoft.com/office/drawing/2010/diagram" id="0" name="">
            <a:hlinkClick xmlns:r="http://schemas.openxmlformats.org/officeDocument/2006/relationships" r:id="rId6"/>
          </dgm14:cNvPr>
        </a:ext>
      </dgm:extLst>
    </dgm:pt>
    <dgm:pt modelId="{C2C49EC0-B072-184C-B140-E26FB0AE9767}" type="parTrans" cxnId="{4E948937-0D30-7840-867F-E6FC510986E7}">
      <dgm:prSet/>
      <dgm:spPr/>
      <dgm:t>
        <a:bodyPr/>
        <a:lstStyle/>
        <a:p>
          <a:endParaRPr lang="es-ES_tradnl"/>
        </a:p>
      </dgm:t>
    </dgm:pt>
    <dgm:pt modelId="{B319036C-772C-3543-BEEA-865EC4FCEC08}" type="sibTrans" cxnId="{4E948937-0D30-7840-867F-E6FC510986E7}">
      <dgm:prSet/>
      <dgm:spPr/>
      <dgm:t>
        <a:bodyPr/>
        <a:lstStyle/>
        <a:p>
          <a:endParaRPr lang="es-ES_tradnl"/>
        </a:p>
      </dgm:t>
    </dgm:pt>
    <dgm:pt modelId="{F53A3714-2242-4842-93CC-A8D732C2E36E}">
      <dgm:prSet/>
      <dgm:spPr>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gradFill>
      </dgm:spPr>
      <dgm:t>
        <a:bodyPr/>
        <a:lstStyle/>
        <a:p>
          <a:r>
            <a:rPr lang="es-ES_tradnl"/>
            <a:t>Mejora</a:t>
          </a:r>
        </a:p>
      </dgm:t>
      <dgm:extLst>
        <a:ext uri="{E40237B7-FDA0-4F09-8148-C483321AD2D9}">
          <dgm14:cNvPr xmlns:dgm14="http://schemas.microsoft.com/office/drawing/2010/diagram" id="0" name="">
            <a:hlinkClick xmlns:r="http://schemas.openxmlformats.org/officeDocument/2006/relationships" r:id="rId7"/>
          </dgm14:cNvPr>
        </a:ext>
      </dgm:extLst>
    </dgm:pt>
    <dgm:pt modelId="{9294D1CA-9CFE-FB45-A246-7A7E3622A77E}" type="parTrans" cxnId="{862110FD-847C-4F4F-A610-8A7A6B787E7D}">
      <dgm:prSet/>
      <dgm:spPr/>
      <dgm:t>
        <a:bodyPr/>
        <a:lstStyle/>
        <a:p>
          <a:endParaRPr lang="es-ES_tradnl"/>
        </a:p>
      </dgm:t>
    </dgm:pt>
    <dgm:pt modelId="{B5751261-D8CB-2E45-86E1-6373E234D4E5}" type="sibTrans" cxnId="{862110FD-847C-4F4F-A610-8A7A6B787E7D}">
      <dgm:prSet/>
      <dgm:spPr/>
      <dgm:t>
        <a:bodyPr/>
        <a:lstStyle/>
        <a:p>
          <a:endParaRPr lang="es-ES_tradnl"/>
        </a:p>
      </dgm:t>
    </dgm:pt>
    <dgm:pt modelId="{3968C274-AC09-244B-9962-630782EBDF83}" type="pres">
      <dgm:prSet presAssocID="{30B9120C-A549-A64B-835B-49533DE71AD0}" presName="Name0" presStyleCnt="0">
        <dgm:presLayoutVars>
          <dgm:dir/>
          <dgm:resizeHandles val="exact"/>
        </dgm:presLayoutVars>
      </dgm:prSet>
      <dgm:spPr/>
    </dgm:pt>
    <dgm:pt modelId="{F0D0FF66-B883-9B48-BC9E-DF29C2079D45}" type="pres">
      <dgm:prSet presAssocID="{30B9120C-A549-A64B-835B-49533DE71AD0}" presName="cycle" presStyleCnt="0"/>
      <dgm:spPr/>
    </dgm:pt>
    <dgm:pt modelId="{D33B0571-2F15-B746-9DB8-F9623734FD82}" type="pres">
      <dgm:prSet presAssocID="{C5F630DA-6FC6-6942-86FF-CD5F3B98837E}" presName="nodeFirstNode" presStyleLbl="node1" presStyleIdx="0" presStyleCnt="7">
        <dgm:presLayoutVars>
          <dgm:bulletEnabled val="1"/>
        </dgm:presLayoutVars>
      </dgm:prSet>
      <dgm:spPr/>
    </dgm:pt>
    <dgm:pt modelId="{146D45C5-2619-6B40-9257-D682D5BD3F77}" type="pres">
      <dgm:prSet presAssocID="{262CD28D-CD8D-7441-846F-37EC34290FC9}" presName="sibTransFirstNode" presStyleLbl="bgShp" presStyleIdx="0" presStyleCnt="1"/>
      <dgm:spPr/>
    </dgm:pt>
    <dgm:pt modelId="{9D4CEE63-B131-5648-A77C-8D595B075034}" type="pres">
      <dgm:prSet presAssocID="{83064208-620F-E543-86A7-AB0A66EA9350}" presName="nodeFollowingNodes" presStyleLbl="node1" presStyleIdx="1" presStyleCnt="7">
        <dgm:presLayoutVars>
          <dgm:bulletEnabled val="1"/>
        </dgm:presLayoutVars>
      </dgm:prSet>
      <dgm:spPr/>
    </dgm:pt>
    <dgm:pt modelId="{0899164B-D664-7D48-84EC-C2B9377500E1}" type="pres">
      <dgm:prSet presAssocID="{FAC3CFE4-BD09-2D47-BD21-C848F6FCF570}" presName="nodeFollowingNodes" presStyleLbl="node1" presStyleIdx="2" presStyleCnt="7">
        <dgm:presLayoutVars>
          <dgm:bulletEnabled val="1"/>
        </dgm:presLayoutVars>
      </dgm:prSet>
      <dgm:spPr/>
    </dgm:pt>
    <dgm:pt modelId="{C3967892-4AD6-9840-AA93-37BC913630A5}" type="pres">
      <dgm:prSet presAssocID="{F576C54C-A0FD-E846-ACC7-2D141452DB4A}" presName="nodeFollowingNodes" presStyleLbl="node1" presStyleIdx="3" presStyleCnt="7">
        <dgm:presLayoutVars>
          <dgm:bulletEnabled val="1"/>
        </dgm:presLayoutVars>
      </dgm:prSet>
      <dgm:spPr/>
    </dgm:pt>
    <dgm:pt modelId="{F67B0ECA-E080-894D-A307-887C92082128}" type="pres">
      <dgm:prSet presAssocID="{CEBFDB80-762B-DB4A-A724-6B90DFDE3935}" presName="nodeFollowingNodes" presStyleLbl="node1" presStyleIdx="4" presStyleCnt="7">
        <dgm:presLayoutVars>
          <dgm:bulletEnabled val="1"/>
        </dgm:presLayoutVars>
      </dgm:prSet>
      <dgm:spPr/>
    </dgm:pt>
    <dgm:pt modelId="{DCC3C460-D43D-064C-925F-8E0E7993C2FE}" type="pres">
      <dgm:prSet presAssocID="{70E6DC62-E0C9-4544-99E6-6184BDB3F0AE}" presName="nodeFollowingNodes" presStyleLbl="node1" presStyleIdx="5" presStyleCnt="7">
        <dgm:presLayoutVars>
          <dgm:bulletEnabled val="1"/>
        </dgm:presLayoutVars>
      </dgm:prSet>
      <dgm:spPr/>
    </dgm:pt>
    <dgm:pt modelId="{03C5489E-5C63-6542-BEE6-4AE4E6364C5B}" type="pres">
      <dgm:prSet presAssocID="{F53A3714-2242-4842-93CC-A8D732C2E36E}" presName="nodeFollowingNodes" presStyleLbl="node1" presStyleIdx="6" presStyleCnt="7">
        <dgm:presLayoutVars>
          <dgm:bulletEnabled val="1"/>
        </dgm:presLayoutVars>
      </dgm:prSet>
      <dgm:spPr/>
    </dgm:pt>
  </dgm:ptLst>
  <dgm:cxnLst>
    <dgm:cxn modelId="{FA65E712-4A6E-2D44-A0F1-C45FDA8DAF76}" type="presOf" srcId="{FAC3CFE4-BD09-2D47-BD21-C848F6FCF570}" destId="{0899164B-D664-7D48-84EC-C2B9377500E1}" srcOrd="0" destOrd="0" presId="urn:microsoft.com/office/officeart/2005/8/layout/cycle3"/>
    <dgm:cxn modelId="{01312813-C51E-104F-9F92-351F2B16F7E0}" srcId="{30B9120C-A549-A64B-835B-49533DE71AD0}" destId="{CEBFDB80-762B-DB4A-A724-6B90DFDE3935}" srcOrd="4" destOrd="0" parTransId="{EF8657B6-6645-7248-86CA-61E9566E9BE3}" sibTransId="{33374FAE-2BD0-D94E-8519-0A13B2D12E8A}"/>
    <dgm:cxn modelId="{E7AD0D1D-AAB9-D04E-A133-2A18A4EB39F0}" srcId="{30B9120C-A549-A64B-835B-49533DE71AD0}" destId="{F576C54C-A0FD-E846-ACC7-2D141452DB4A}" srcOrd="3" destOrd="0" parTransId="{7358B9C4-5699-3B40-B027-A7C79D9F25F4}" sibTransId="{BE14CD04-9336-094B-9FE8-ACB0D1D79A74}"/>
    <dgm:cxn modelId="{4E948937-0D30-7840-867F-E6FC510986E7}" srcId="{30B9120C-A549-A64B-835B-49533DE71AD0}" destId="{70E6DC62-E0C9-4544-99E6-6184BDB3F0AE}" srcOrd="5" destOrd="0" parTransId="{C2C49EC0-B072-184C-B140-E26FB0AE9767}" sibTransId="{B319036C-772C-3543-BEEA-865EC4FCEC08}"/>
    <dgm:cxn modelId="{7EE00342-48C3-5840-AC60-1E49020522CE}" type="presOf" srcId="{83064208-620F-E543-86A7-AB0A66EA9350}" destId="{9D4CEE63-B131-5648-A77C-8D595B075034}" srcOrd="0" destOrd="0" presId="urn:microsoft.com/office/officeart/2005/8/layout/cycle3"/>
    <dgm:cxn modelId="{9BF3FC63-EC23-2D4E-8077-63125ECDBE51}" type="presOf" srcId="{CEBFDB80-762B-DB4A-A724-6B90DFDE3935}" destId="{F67B0ECA-E080-894D-A307-887C92082128}" srcOrd="0" destOrd="0" presId="urn:microsoft.com/office/officeart/2005/8/layout/cycle3"/>
    <dgm:cxn modelId="{F660B7BB-C961-4C45-9935-0F14BB3E4F0E}" type="presOf" srcId="{262CD28D-CD8D-7441-846F-37EC34290FC9}" destId="{146D45C5-2619-6B40-9257-D682D5BD3F77}" srcOrd="0" destOrd="0" presId="urn:microsoft.com/office/officeart/2005/8/layout/cycle3"/>
    <dgm:cxn modelId="{4268EEC0-0FB3-164C-9D63-7C99D9B84A7F}" type="presOf" srcId="{F576C54C-A0FD-E846-ACC7-2D141452DB4A}" destId="{C3967892-4AD6-9840-AA93-37BC913630A5}" srcOrd="0" destOrd="0" presId="urn:microsoft.com/office/officeart/2005/8/layout/cycle3"/>
    <dgm:cxn modelId="{07783BCD-36F9-DD4F-AB0D-4CC3F4ABE664}" srcId="{30B9120C-A549-A64B-835B-49533DE71AD0}" destId="{C5F630DA-6FC6-6942-86FF-CD5F3B98837E}" srcOrd="0" destOrd="0" parTransId="{4CB9913C-0B3F-D942-81DC-9F063FC9C26E}" sibTransId="{262CD28D-CD8D-7441-846F-37EC34290FC9}"/>
    <dgm:cxn modelId="{2CAA5FDD-AC7B-494B-9925-2A6FB2F348C2}" type="presOf" srcId="{F53A3714-2242-4842-93CC-A8D732C2E36E}" destId="{03C5489E-5C63-6542-BEE6-4AE4E6364C5B}" srcOrd="0" destOrd="0" presId="urn:microsoft.com/office/officeart/2005/8/layout/cycle3"/>
    <dgm:cxn modelId="{41CC8DE1-0167-9242-A808-88E734CA65B5}" type="presOf" srcId="{30B9120C-A549-A64B-835B-49533DE71AD0}" destId="{3968C274-AC09-244B-9962-630782EBDF83}" srcOrd="0" destOrd="0" presId="urn:microsoft.com/office/officeart/2005/8/layout/cycle3"/>
    <dgm:cxn modelId="{BBF092E9-5131-FA44-B076-D62964DA6330}" type="presOf" srcId="{70E6DC62-E0C9-4544-99E6-6184BDB3F0AE}" destId="{DCC3C460-D43D-064C-925F-8E0E7993C2FE}" srcOrd="0" destOrd="0" presId="urn:microsoft.com/office/officeart/2005/8/layout/cycle3"/>
    <dgm:cxn modelId="{D3D480EF-B880-4F4D-B2F6-A0D7E083A4BD}" srcId="{30B9120C-A549-A64B-835B-49533DE71AD0}" destId="{83064208-620F-E543-86A7-AB0A66EA9350}" srcOrd="1" destOrd="0" parTransId="{B05E9B28-1109-6549-9532-6F9E271E4097}" sibTransId="{F5DF3728-60E9-0941-87C2-5D1ED250F9FA}"/>
    <dgm:cxn modelId="{DCE0FAF0-13AB-DD49-8D84-16FAC4268E90}" srcId="{30B9120C-A549-A64B-835B-49533DE71AD0}" destId="{FAC3CFE4-BD09-2D47-BD21-C848F6FCF570}" srcOrd="2" destOrd="0" parTransId="{2D9E8D34-E437-5F43-99CC-2A0E989CCF70}" sibTransId="{0D19A6F6-5BBB-9142-8A10-C98D9A516641}"/>
    <dgm:cxn modelId="{366F29F4-7CC9-3D49-94A8-9249E19D70D3}" type="presOf" srcId="{C5F630DA-6FC6-6942-86FF-CD5F3B98837E}" destId="{D33B0571-2F15-B746-9DB8-F9623734FD82}" srcOrd="0" destOrd="0" presId="urn:microsoft.com/office/officeart/2005/8/layout/cycle3"/>
    <dgm:cxn modelId="{862110FD-847C-4F4F-A610-8A7A6B787E7D}" srcId="{30B9120C-A549-A64B-835B-49533DE71AD0}" destId="{F53A3714-2242-4842-93CC-A8D732C2E36E}" srcOrd="6" destOrd="0" parTransId="{9294D1CA-9CFE-FB45-A246-7A7E3622A77E}" sibTransId="{B5751261-D8CB-2E45-86E1-6373E234D4E5}"/>
    <dgm:cxn modelId="{6F095AE3-B989-6C40-B55F-0A3A7722E162}" type="presParOf" srcId="{3968C274-AC09-244B-9962-630782EBDF83}" destId="{F0D0FF66-B883-9B48-BC9E-DF29C2079D45}" srcOrd="0" destOrd="0" presId="urn:microsoft.com/office/officeart/2005/8/layout/cycle3"/>
    <dgm:cxn modelId="{5729DDBE-AC4B-7049-AFD4-004B4F7BE33B}" type="presParOf" srcId="{F0D0FF66-B883-9B48-BC9E-DF29C2079D45}" destId="{D33B0571-2F15-B746-9DB8-F9623734FD82}" srcOrd="0" destOrd="0" presId="urn:microsoft.com/office/officeart/2005/8/layout/cycle3"/>
    <dgm:cxn modelId="{E341312E-D2BC-8944-B987-0853FE8AFBD7}" type="presParOf" srcId="{F0D0FF66-B883-9B48-BC9E-DF29C2079D45}" destId="{146D45C5-2619-6B40-9257-D682D5BD3F77}" srcOrd="1" destOrd="0" presId="urn:microsoft.com/office/officeart/2005/8/layout/cycle3"/>
    <dgm:cxn modelId="{F40C5DEA-66BA-1E48-87DD-03E9E0CED94B}" type="presParOf" srcId="{F0D0FF66-B883-9B48-BC9E-DF29C2079D45}" destId="{9D4CEE63-B131-5648-A77C-8D595B075034}" srcOrd="2" destOrd="0" presId="urn:microsoft.com/office/officeart/2005/8/layout/cycle3"/>
    <dgm:cxn modelId="{1F49E3AA-162E-8B4D-B11F-844B32E737E7}" type="presParOf" srcId="{F0D0FF66-B883-9B48-BC9E-DF29C2079D45}" destId="{0899164B-D664-7D48-84EC-C2B9377500E1}" srcOrd="3" destOrd="0" presId="urn:microsoft.com/office/officeart/2005/8/layout/cycle3"/>
    <dgm:cxn modelId="{3185C23E-4F1D-9F46-9150-8B07F3D8F2A2}" type="presParOf" srcId="{F0D0FF66-B883-9B48-BC9E-DF29C2079D45}" destId="{C3967892-4AD6-9840-AA93-37BC913630A5}" srcOrd="4" destOrd="0" presId="urn:microsoft.com/office/officeart/2005/8/layout/cycle3"/>
    <dgm:cxn modelId="{FEEEE170-3774-1C47-996C-BB23331945D5}" type="presParOf" srcId="{F0D0FF66-B883-9B48-BC9E-DF29C2079D45}" destId="{F67B0ECA-E080-894D-A307-887C92082128}" srcOrd="5" destOrd="0" presId="urn:microsoft.com/office/officeart/2005/8/layout/cycle3"/>
    <dgm:cxn modelId="{DF335B7E-D9BD-4D42-8854-93369A1D4E3D}" type="presParOf" srcId="{F0D0FF66-B883-9B48-BC9E-DF29C2079D45}" destId="{DCC3C460-D43D-064C-925F-8E0E7993C2FE}" srcOrd="6" destOrd="0" presId="urn:microsoft.com/office/officeart/2005/8/layout/cycle3"/>
    <dgm:cxn modelId="{35516E60-DEFB-CB4F-90AF-7C11D2572C9C}" type="presParOf" srcId="{F0D0FF66-B883-9B48-BC9E-DF29C2079D45}" destId="{03C5489E-5C63-6542-BEE6-4AE4E6364C5B}" srcOrd="7" destOrd="0" presId="urn:microsoft.com/office/officeart/2005/8/layout/cycle3"/>
  </dgm:cxnLst>
  <dgm:bg/>
  <dgm:whole>
    <a:effectLst/>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30B9120C-A549-A64B-835B-49533DE71AD0}" type="doc">
      <dgm:prSet loTypeId="urn:microsoft.com/office/officeart/2005/8/layout/cycle3" loCatId="" qsTypeId="urn:microsoft.com/office/officeart/2005/8/quickstyle/simple4#2" qsCatId="simple" csTypeId="urn:microsoft.com/office/officeart/2005/8/colors/accent3_5#1" csCatId="accent3" phldr="1"/>
      <dgm:spPr/>
      <dgm:t>
        <a:bodyPr/>
        <a:lstStyle/>
        <a:p>
          <a:endParaRPr lang="es-ES_tradnl"/>
        </a:p>
      </dgm:t>
    </dgm:pt>
    <dgm:pt modelId="{C5F630DA-6FC6-6942-86FF-CD5F3B98837E}">
      <dgm:prSet phldrT="[Texto]"/>
      <dgm:spPr/>
      <dgm:t>
        <a:bodyPr/>
        <a:lstStyle/>
        <a:p>
          <a:r>
            <a:rPr lang="es-ES_tradnl">
              <a:solidFill>
                <a:schemeClr val="tx1"/>
              </a:solidFill>
            </a:rPr>
            <a:t>Contexto de  la Organizaci</a:t>
          </a:r>
          <a:r>
            <a:rPr lang="es-ES">
              <a:solidFill>
                <a:schemeClr val="tx1"/>
              </a:solidFill>
            </a:rPr>
            <a:t>ón</a:t>
          </a:r>
          <a:endParaRPr lang="es-ES_tradnl">
            <a:solidFill>
              <a:schemeClr val="tx1"/>
            </a:solidFill>
          </a:endParaRPr>
        </a:p>
      </dgm:t>
      <dgm:extLst>
        <a:ext uri="{E40237B7-FDA0-4F09-8148-C483321AD2D9}">
          <dgm14:cNvPr xmlns:dgm14="http://schemas.microsoft.com/office/drawing/2010/diagram" id="0" name="">
            <a:hlinkClick xmlns:r="http://schemas.openxmlformats.org/officeDocument/2006/relationships" r:id="rId1"/>
          </dgm14:cNvPr>
        </a:ext>
      </dgm:extLst>
    </dgm:pt>
    <dgm:pt modelId="{4CB9913C-0B3F-D942-81DC-9F063FC9C26E}" type="parTrans" cxnId="{07783BCD-36F9-DD4F-AB0D-4CC3F4ABE664}">
      <dgm:prSet/>
      <dgm:spPr/>
      <dgm:t>
        <a:bodyPr/>
        <a:lstStyle/>
        <a:p>
          <a:endParaRPr lang="es-ES_tradnl">
            <a:solidFill>
              <a:schemeClr val="tx1"/>
            </a:solidFill>
          </a:endParaRPr>
        </a:p>
      </dgm:t>
    </dgm:pt>
    <dgm:pt modelId="{262CD28D-CD8D-7441-846F-37EC34290FC9}" type="sibTrans" cxnId="{07783BCD-36F9-DD4F-AB0D-4CC3F4ABE664}">
      <dgm:prSet/>
      <dgm:spPr>
        <a:solidFill>
          <a:srgbClr val="00B0F0"/>
        </a:solidFill>
      </dgm:spPr>
      <dgm:t>
        <a:bodyPr/>
        <a:lstStyle/>
        <a:p>
          <a:endParaRPr lang="es-ES_tradnl">
            <a:solidFill>
              <a:schemeClr val="tx1"/>
            </a:solidFill>
          </a:endParaRPr>
        </a:p>
      </dgm:t>
    </dgm:pt>
    <dgm:pt modelId="{83064208-620F-E543-86A7-AB0A66EA9350}">
      <dgm:prSet phldrT="[Texto]"/>
      <dgm:spPr/>
      <dgm:t>
        <a:bodyPr/>
        <a:lstStyle/>
        <a:p>
          <a:r>
            <a:rPr lang="es-ES_tradnl">
              <a:solidFill>
                <a:schemeClr val="tx1"/>
              </a:solidFill>
            </a:rPr>
            <a:t>Liderazgo</a:t>
          </a:r>
        </a:p>
      </dgm:t>
      <dgm:extLst>
        <a:ext uri="{E40237B7-FDA0-4F09-8148-C483321AD2D9}">
          <dgm14:cNvPr xmlns:dgm14="http://schemas.microsoft.com/office/drawing/2010/diagram" id="0" name="">
            <a:hlinkClick xmlns:r="http://schemas.openxmlformats.org/officeDocument/2006/relationships" r:id="rId2"/>
          </dgm14:cNvPr>
        </a:ext>
      </dgm:extLst>
    </dgm:pt>
    <dgm:pt modelId="{B05E9B28-1109-6549-9532-6F9E271E4097}" type="parTrans" cxnId="{D3D480EF-B880-4F4D-B2F6-A0D7E083A4BD}">
      <dgm:prSet/>
      <dgm:spPr/>
      <dgm:t>
        <a:bodyPr/>
        <a:lstStyle/>
        <a:p>
          <a:endParaRPr lang="es-ES_tradnl">
            <a:solidFill>
              <a:schemeClr val="tx1"/>
            </a:solidFill>
          </a:endParaRPr>
        </a:p>
      </dgm:t>
    </dgm:pt>
    <dgm:pt modelId="{F5DF3728-60E9-0941-87C2-5D1ED250F9FA}" type="sibTrans" cxnId="{D3D480EF-B880-4F4D-B2F6-A0D7E083A4BD}">
      <dgm:prSet/>
      <dgm:spPr/>
      <dgm:t>
        <a:bodyPr/>
        <a:lstStyle/>
        <a:p>
          <a:endParaRPr lang="es-ES_tradnl">
            <a:solidFill>
              <a:schemeClr val="tx1"/>
            </a:solidFill>
          </a:endParaRPr>
        </a:p>
      </dgm:t>
    </dgm:pt>
    <dgm:pt modelId="{FAC3CFE4-BD09-2D47-BD21-C848F6FCF570}">
      <dgm:prSet phldrT="[Texto]"/>
      <dgm:spPr/>
      <dgm:t>
        <a:bodyPr/>
        <a:lstStyle/>
        <a:p>
          <a:r>
            <a:rPr lang="es-ES_tradnl">
              <a:solidFill>
                <a:schemeClr val="tx1"/>
              </a:solidFill>
            </a:rPr>
            <a:t>Planificaci</a:t>
          </a:r>
          <a:r>
            <a:rPr lang="es-ES">
              <a:solidFill>
                <a:schemeClr val="tx1"/>
              </a:solidFill>
            </a:rPr>
            <a:t>ón</a:t>
          </a:r>
          <a:endParaRPr lang="es-ES_tradnl">
            <a:solidFill>
              <a:schemeClr val="tx1"/>
            </a:solidFill>
          </a:endParaRPr>
        </a:p>
      </dgm:t>
      <dgm:extLst>
        <a:ext uri="{E40237B7-FDA0-4F09-8148-C483321AD2D9}">
          <dgm14:cNvPr xmlns:dgm14="http://schemas.microsoft.com/office/drawing/2010/diagram" id="0" name="">
            <a:hlinkClick xmlns:r="http://schemas.openxmlformats.org/officeDocument/2006/relationships" r:id="rId3"/>
          </dgm14:cNvPr>
        </a:ext>
      </dgm:extLst>
    </dgm:pt>
    <dgm:pt modelId="{2D9E8D34-E437-5F43-99CC-2A0E989CCF70}" type="parTrans" cxnId="{DCE0FAF0-13AB-DD49-8D84-16FAC4268E90}">
      <dgm:prSet/>
      <dgm:spPr/>
      <dgm:t>
        <a:bodyPr/>
        <a:lstStyle/>
        <a:p>
          <a:endParaRPr lang="es-ES_tradnl">
            <a:solidFill>
              <a:schemeClr val="tx1"/>
            </a:solidFill>
          </a:endParaRPr>
        </a:p>
      </dgm:t>
    </dgm:pt>
    <dgm:pt modelId="{0D19A6F6-5BBB-9142-8A10-C98D9A516641}" type="sibTrans" cxnId="{DCE0FAF0-13AB-DD49-8D84-16FAC4268E90}">
      <dgm:prSet/>
      <dgm:spPr/>
      <dgm:t>
        <a:bodyPr/>
        <a:lstStyle/>
        <a:p>
          <a:endParaRPr lang="es-ES_tradnl">
            <a:solidFill>
              <a:schemeClr val="tx1"/>
            </a:solidFill>
          </a:endParaRPr>
        </a:p>
      </dgm:t>
    </dgm:pt>
    <dgm:pt modelId="{F576C54C-A0FD-E846-ACC7-2D141452DB4A}">
      <dgm:prSet phldrT="[Texto]"/>
      <dgm:spPr/>
      <dgm:t>
        <a:bodyPr/>
        <a:lstStyle/>
        <a:p>
          <a:r>
            <a:rPr lang="es-ES_tradnl">
              <a:solidFill>
                <a:schemeClr val="tx1"/>
              </a:solidFill>
            </a:rPr>
            <a:t>Apoyo</a:t>
          </a:r>
        </a:p>
      </dgm:t>
      <dgm:extLst>
        <a:ext uri="{E40237B7-FDA0-4F09-8148-C483321AD2D9}">
          <dgm14:cNvPr xmlns:dgm14="http://schemas.microsoft.com/office/drawing/2010/diagram" id="0" name="">
            <a:hlinkClick xmlns:r="http://schemas.openxmlformats.org/officeDocument/2006/relationships" r:id="rId4"/>
          </dgm14:cNvPr>
        </a:ext>
      </dgm:extLst>
    </dgm:pt>
    <dgm:pt modelId="{7358B9C4-5699-3B40-B027-A7C79D9F25F4}" type="parTrans" cxnId="{E7AD0D1D-AAB9-D04E-A133-2A18A4EB39F0}">
      <dgm:prSet/>
      <dgm:spPr/>
      <dgm:t>
        <a:bodyPr/>
        <a:lstStyle/>
        <a:p>
          <a:endParaRPr lang="es-ES_tradnl">
            <a:solidFill>
              <a:schemeClr val="tx1"/>
            </a:solidFill>
          </a:endParaRPr>
        </a:p>
      </dgm:t>
    </dgm:pt>
    <dgm:pt modelId="{BE14CD04-9336-094B-9FE8-ACB0D1D79A74}" type="sibTrans" cxnId="{E7AD0D1D-AAB9-D04E-A133-2A18A4EB39F0}">
      <dgm:prSet/>
      <dgm:spPr/>
      <dgm:t>
        <a:bodyPr/>
        <a:lstStyle/>
        <a:p>
          <a:endParaRPr lang="es-ES_tradnl">
            <a:solidFill>
              <a:schemeClr val="tx1"/>
            </a:solidFill>
          </a:endParaRPr>
        </a:p>
      </dgm:t>
    </dgm:pt>
    <dgm:pt modelId="{CEBFDB80-762B-DB4A-A724-6B90DFDE3935}">
      <dgm:prSet phldrT="[Texto]"/>
      <dgm:spPr/>
      <dgm:t>
        <a:bodyPr/>
        <a:lstStyle/>
        <a:p>
          <a:r>
            <a:rPr lang="es-ES">
              <a:solidFill>
                <a:schemeClr val="tx1"/>
              </a:solidFill>
            </a:rPr>
            <a:t>Operación</a:t>
          </a:r>
          <a:endParaRPr lang="es-ES_tradnl">
            <a:solidFill>
              <a:schemeClr val="tx1"/>
            </a:solidFill>
          </a:endParaRPr>
        </a:p>
      </dgm:t>
      <dgm:extLst>
        <a:ext uri="{E40237B7-FDA0-4F09-8148-C483321AD2D9}">
          <dgm14:cNvPr xmlns:dgm14="http://schemas.microsoft.com/office/drawing/2010/diagram" id="0" name="">
            <a:hlinkClick xmlns:r="http://schemas.openxmlformats.org/officeDocument/2006/relationships" r:id="rId5"/>
          </dgm14:cNvPr>
        </a:ext>
      </dgm:extLst>
    </dgm:pt>
    <dgm:pt modelId="{EF8657B6-6645-7248-86CA-61E9566E9BE3}" type="parTrans" cxnId="{01312813-C51E-104F-9F92-351F2B16F7E0}">
      <dgm:prSet/>
      <dgm:spPr/>
      <dgm:t>
        <a:bodyPr/>
        <a:lstStyle/>
        <a:p>
          <a:endParaRPr lang="es-ES_tradnl">
            <a:solidFill>
              <a:schemeClr val="tx1"/>
            </a:solidFill>
          </a:endParaRPr>
        </a:p>
      </dgm:t>
    </dgm:pt>
    <dgm:pt modelId="{33374FAE-2BD0-D94E-8519-0A13B2D12E8A}" type="sibTrans" cxnId="{01312813-C51E-104F-9F92-351F2B16F7E0}">
      <dgm:prSet/>
      <dgm:spPr/>
      <dgm:t>
        <a:bodyPr/>
        <a:lstStyle/>
        <a:p>
          <a:endParaRPr lang="es-ES_tradnl">
            <a:solidFill>
              <a:schemeClr val="tx1"/>
            </a:solidFill>
          </a:endParaRPr>
        </a:p>
      </dgm:t>
    </dgm:pt>
    <dgm:pt modelId="{70E6DC62-E0C9-4544-99E6-6184BDB3F0AE}">
      <dgm:prSet/>
      <dgm:spPr/>
      <dgm:t>
        <a:bodyPr/>
        <a:lstStyle/>
        <a:p>
          <a:r>
            <a:rPr lang="es-ES_tradnl">
              <a:solidFill>
                <a:schemeClr val="tx1"/>
              </a:solidFill>
            </a:rPr>
            <a:t>Evaluaci</a:t>
          </a:r>
          <a:r>
            <a:rPr lang="es-ES">
              <a:solidFill>
                <a:schemeClr val="tx1"/>
              </a:solidFill>
            </a:rPr>
            <a:t>ón del desempeño</a:t>
          </a:r>
          <a:endParaRPr lang="es-ES_tradnl">
            <a:solidFill>
              <a:schemeClr val="tx1"/>
            </a:solidFill>
          </a:endParaRPr>
        </a:p>
      </dgm:t>
      <dgm:extLst>
        <a:ext uri="{E40237B7-FDA0-4F09-8148-C483321AD2D9}">
          <dgm14:cNvPr xmlns:dgm14="http://schemas.microsoft.com/office/drawing/2010/diagram" id="0" name="">
            <a:hlinkClick xmlns:r="http://schemas.openxmlformats.org/officeDocument/2006/relationships" r:id="rId6"/>
          </dgm14:cNvPr>
        </a:ext>
      </dgm:extLst>
    </dgm:pt>
    <dgm:pt modelId="{C2C49EC0-B072-184C-B140-E26FB0AE9767}" type="parTrans" cxnId="{4E948937-0D30-7840-867F-E6FC510986E7}">
      <dgm:prSet/>
      <dgm:spPr/>
      <dgm:t>
        <a:bodyPr/>
        <a:lstStyle/>
        <a:p>
          <a:endParaRPr lang="es-ES_tradnl">
            <a:solidFill>
              <a:schemeClr val="tx1"/>
            </a:solidFill>
          </a:endParaRPr>
        </a:p>
      </dgm:t>
    </dgm:pt>
    <dgm:pt modelId="{B319036C-772C-3543-BEEA-865EC4FCEC08}" type="sibTrans" cxnId="{4E948937-0D30-7840-867F-E6FC510986E7}">
      <dgm:prSet/>
      <dgm:spPr/>
      <dgm:t>
        <a:bodyPr/>
        <a:lstStyle/>
        <a:p>
          <a:endParaRPr lang="es-ES_tradnl">
            <a:solidFill>
              <a:schemeClr val="tx1"/>
            </a:solidFill>
          </a:endParaRPr>
        </a:p>
      </dgm:t>
    </dgm:pt>
    <dgm:pt modelId="{F53A3714-2242-4842-93CC-A8D732C2E36E}">
      <dgm:prSet/>
      <dgm:spPr/>
      <dgm:t>
        <a:bodyPr/>
        <a:lstStyle/>
        <a:p>
          <a:r>
            <a:rPr lang="es-ES_tradnl">
              <a:solidFill>
                <a:schemeClr val="tx1"/>
              </a:solidFill>
            </a:rPr>
            <a:t>Mejora</a:t>
          </a:r>
        </a:p>
      </dgm:t>
      <dgm:extLst>
        <a:ext uri="{E40237B7-FDA0-4F09-8148-C483321AD2D9}">
          <dgm14:cNvPr xmlns:dgm14="http://schemas.microsoft.com/office/drawing/2010/diagram" id="0" name="">
            <a:hlinkClick xmlns:r="http://schemas.openxmlformats.org/officeDocument/2006/relationships" r:id="rId7"/>
          </dgm14:cNvPr>
        </a:ext>
      </dgm:extLst>
    </dgm:pt>
    <dgm:pt modelId="{9294D1CA-9CFE-FB45-A246-7A7E3622A77E}" type="parTrans" cxnId="{862110FD-847C-4F4F-A610-8A7A6B787E7D}">
      <dgm:prSet/>
      <dgm:spPr/>
      <dgm:t>
        <a:bodyPr/>
        <a:lstStyle/>
        <a:p>
          <a:endParaRPr lang="es-ES_tradnl">
            <a:solidFill>
              <a:schemeClr val="tx1"/>
            </a:solidFill>
          </a:endParaRPr>
        </a:p>
      </dgm:t>
    </dgm:pt>
    <dgm:pt modelId="{B5751261-D8CB-2E45-86E1-6373E234D4E5}" type="sibTrans" cxnId="{862110FD-847C-4F4F-A610-8A7A6B787E7D}">
      <dgm:prSet/>
      <dgm:spPr/>
      <dgm:t>
        <a:bodyPr/>
        <a:lstStyle/>
        <a:p>
          <a:endParaRPr lang="es-ES_tradnl">
            <a:solidFill>
              <a:schemeClr val="tx1"/>
            </a:solidFill>
          </a:endParaRPr>
        </a:p>
      </dgm:t>
    </dgm:pt>
    <dgm:pt modelId="{3968C274-AC09-244B-9962-630782EBDF83}" type="pres">
      <dgm:prSet presAssocID="{30B9120C-A549-A64B-835B-49533DE71AD0}" presName="Name0" presStyleCnt="0">
        <dgm:presLayoutVars>
          <dgm:dir/>
          <dgm:resizeHandles val="exact"/>
        </dgm:presLayoutVars>
      </dgm:prSet>
      <dgm:spPr/>
    </dgm:pt>
    <dgm:pt modelId="{F0D0FF66-B883-9B48-BC9E-DF29C2079D45}" type="pres">
      <dgm:prSet presAssocID="{30B9120C-A549-A64B-835B-49533DE71AD0}" presName="cycle" presStyleCnt="0"/>
      <dgm:spPr/>
    </dgm:pt>
    <dgm:pt modelId="{D33B0571-2F15-B746-9DB8-F9623734FD82}" type="pres">
      <dgm:prSet presAssocID="{C5F630DA-6FC6-6942-86FF-CD5F3B98837E}" presName="nodeFirstNode" presStyleLbl="node1" presStyleIdx="0" presStyleCnt="7">
        <dgm:presLayoutVars>
          <dgm:bulletEnabled val="1"/>
        </dgm:presLayoutVars>
      </dgm:prSet>
      <dgm:spPr/>
    </dgm:pt>
    <dgm:pt modelId="{146D45C5-2619-6B40-9257-D682D5BD3F77}" type="pres">
      <dgm:prSet presAssocID="{262CD28D-CD8D-7441-846F-37EC34290FC9}" presName="sibTransFirstNode" presStyleLbl="bgShp" presStyleIdx="0" presStyleCnt="1"/>
      <dgm:spPr/>
    </dgm:pt>
    <dgm:pt modelId="{9D4CEE63-B131-5648-A77C-8D595B075034}" type="pres">
      <dgm:prSet presAssocID="{83064208-620F-E543-86A7-AB0A66EA9350}" presName="nodeFollowingNodes" presStyleLbl="node1" presStyleIdx="1" presStyleCnt="7">
        <dgm:presLayoutVars>
          <dgm:bulletEnabled val="1"/>
        </dgm:presLayoutVars>
      </dgm:prSet>
      <dgm:spPr/>
    </dgm:pt>
    <dgm:pt modelId="{0899164B-D664-7D48-84EC-C2B9377500E1}" type="pres">
      <dgm:prSet presAssocID="{FAC3CFE4-BD09-2D47-BD21-C848F6FCF570}" presName="nodeFollowingNodes" presStyleLbl="node1" presStyleIdx="2" presStyleCnt="7">
        <dgm:presLayoutVars>
          <dgm:bulletEnabled val="1"/>
        </dgm:presLayoutVars>
      </dgm:prSet>
      <dgm:spPr/>
    </dgm:pt>
    <dgm:pt modelId="{C3967892-4AD6-9840-AA93-37BC913630A5}" type="pres">
      <dgm:prSet presAssocID="{F576C54C-A0FD-E846-ACC7-2D141452DB4A}" presName="nodeFollowingNodes" presStyleLbl="node1" presStyleIdx="3" presStyleCnt="7">
        <dgm:presLayoutVars>
          <dgm:bulletEnabled val="1"/>
        </dgm:presLayoutVars>
      </dgm:prSet>
      <dgm:spPr/>
    </dgm:pt>
    <dgm:pt modelId="{F67B0ECA-E080-894D-A307-887C92082128}" type="pres">
      <dgm:prSet presAssocID="{CEBFDB80-762B-DB4A-A724-6B90DFDE3935}" presName="nodeFollowingNodes" presStyleLbl="node1" presStyleIdx="4" presStyleCnt="7">
        <dgm:presLayoutVars>
          <dgm:bulletEnabled val="1"/>
        </dgm:presLayoutVars>
      </dgm:prSet>
      <dgm:spPr/>
    </dgm:pt>
    <dgm:pt modelId="{DCC3C460-D43D-064C-925F-8E0E7993C2FE}" type="pres">
      <dgm:prSet presAssocID="{70E6DC62-E0C9-4544-99E6-6184BDB3F0AE}" presName="nodeFollowingNodes" presStyleLbl="node1" presStyleIdx="5" presStyleCnt="7">
        <dgm:presLayoutVars>
          <dgm:bulletEnabled val="1"/>
        </dgm:presLayoutVars>
      </dgm:prSet>
      <dgm:spPr/>
    </dgm:pt>
    <dgm:pt modelId="{03C5489E-5C63-6542-BEE6-4AE4E6364C5B}" type="pres">
      <dgm:prSet presAssocID="{F53A3714-2242-4842-93CC-A8D732C2E36E}" presName="nodeFollowingNodes" presStyleLbl="node1" presStyleIdx="6" presStyleCnt="7">
        <dgm:presLayoutVars>
          <dgm:bulletEnabled val="1"/>
        </dgm:presLayoutVars>
      </dgm:prSet>
      <dgm:spPr/>
    </dgm:pt>
  </dgm:ptLst>
  <dgm:cxnLst>
    <dgm:cxn modelId="{01312813-C51E-104F-9F92-351F2B16F7E0}" srcId="{30B9120C-A549-A64B-835B-49533DE71AD0}" destId="{CEBFDB80-762B-DB4A-A724-6B90DFDE3935}" srcOrd="4" destOrd="0" parTransId="{EF8657B6-6645-7248-86CA-61E9566E9BE3}" sibTransId="{33374FAE-2BD0-D94E-8519-0A13B2D12E8A}"/>
    <dgm:cxn modelId="{E7AD0D1D-AAB9-D04E-A133-2A18A4EB39F0}" srcId="{30B9120C-A549-A64B-835B-49533DE71AD0}" destId="{F576C54C-A0FD-E846-ACC7-2D141452DB4A}" srcOrd="3" destOrd="0" parTransId="{7358B9C4-5699-3B40-B027-A7C79D9F25F4}" sibTransId="{BE14CD04-9336-094B-9FE8-ACB0D1D79A74}"/>
    <dgm:cxn modelId="{0CB4B828-5DEA-4F42-8C07-25859D1A8A42}" type="presOf" srcId="{262CD28D-CD8D-7441-846F-37EC34290FC9}" destId="{146D45C5-2619-6B40-9257-D682D5BD3F77}" srcOrd="0" destOrd="0" presId="urn:microsoft.com/office/officeart/2005/8/layout/cycle3"/>
    <dgm:cxn modelId="{B7F5B928-09FA-C94E-85DD-A3BBDFE98233}" type="presOf" srcId="{C5F630DA-6FC6-6942-86FF-CD5F3B98837E}" destId="{D33B0571-2F15-B746-9DB8-F9623734FD82}" srcOrd="0" destOrd="0" presId="urn:microsoft.com/office/officeart/2005/8/layout/cycle3"/>
    <dgm:cxn modelId="{8AC18130-551D-2F41-97EF-371927099B6A}" type="presOf" srcId="{CEBFDB80-762B-DB4A-A724-6B90DFDE3935}" destId="{F67B0ECA-E080-894D-A307-887C92082128}" srcOrd="0" destOrd="0" presId="urn:microsoft.com/office/officeart/2005/8/layout/cycle3"/>
    <dgm:cxn modelId="{4E948937-0D30-7840-867F-E6FC510986E7}" srcId="{30B9120C-A549-A64B-835B-49533DE71AD0}" destId="{70E6DC62-E0C9-4544-99E6-6184BDB3F0AE}" srcOrd="5" destOrd="0" parTransId="{C2C49EC0-B072-184C-B140-E26FB0AE9767}" sibTransId="{B319036C-772C-3543-BEEA-865EC4FCEC08}"/>
    <dgm:cxn modelId="{EC94B961-4515-AB46-ACBB-41C03270FEB5}" type="presOf" srcId="{70E6DC62-E0C9-4544-99E6-6184BDB3F0AE}" destId="{DCC3C460-D43D-064C-925F-8E0E7993C2FE}" srcOrd="0" destOrd="0" presId="urn:microsoft.com/office/officeart/2005/8/layout/cycle3"/>
    <dgm:cxn modelId="{0D53F870-42FD-FB4B-9E55-886311214EFD}" type="presOf" srcId="{FAC3CFE4-BD09-2D47-BD21-C848F6FCF570}" destId="{0899164B-D664-7D48-84EC-C2B9377500E1}" srcOrd="0" destOrd="0" presId="urn:microsoft.com/office/officeart/2005/8/layout/cycle3"/>
    <dgm:cxn modelId="{DD79EC80-EBDC-8941-917A-B866A7E9A6A6}" type="presOf" srcId="{83064208-620F-E543-86A7-AB0A66EA9350}" destId="{9D4CEE63-B131-5648-A77C-8D595B075034}" srcOrd="0" destOrd="0" presId="urn:microsoft.com/office/officeart/2005/8/layout/cycle3"/>
    <dgm:cxn modelId="{102F238E-BF4F-784C-95AC-FA66B1502133}" type="presOf" srcId="{F576C54C-A0FD-E846-ACC7-2D141452DB4A}" destId="{C3967892-4AD6-9840-AA93-37BC913630A5}" srcOrd="0" destOrd="0" presId="urn:microsoft.com/office/officeart/2005/8/layout/cycle3"/>
    <dgm:cxn modelId="{07783BCD-36F9-DD4F-AB0D-4CC3F4ABE664}" srcId="{30B9120C-A549-A64B-835B-49533DE71AD0}" destId="{C5F630DA-6FC6-6942-86FF-CD5F3B98837E}" srcOrd="0" destOrd="0" parTransId="{4CB9913C-0B3F-D942-81DC-9F063FC9C26E}" sibTransId="{262CD28D-CD8D-7441-846F-37EC34290FC9}"/>
    <dgm:cxn modelId="{4306B8E1-247C-304B-96CE-087592BB4EDE}" type="presOf" srcId="{F53A3714-2242-4842-93CC-A8D732C2E36E}" destId="{03C5489E-5C63-6542-BEE6-4AE4E6364C5B}" srcOrd="0" destOrd="0" presId="urn:microsoft.com/office/officeart/2005/8/layout/cycle3"/>
    <dgm:cxn modelId="{E71A52EE-C847-3748-BDBA-F1ADED495072}" type="presOf" srcId="{30B9120C-A549-A64B-835B-49533DE71AD0}" destId="{3968C274-AC09-244B-9962-630782EBDF83}" srcOrd="0" destOrd="0" presId="urn:microsoft.com/office/officeart/2005/8/layout/cycle3"/>
    <dgm:cxn modelId="{D3D480EF-B880-4F4D-B2F6-A0D7E083A4BD}" srcId="{30B9120C-A549-A64B-835B-49533DE71AD0}" destId="{83064208-620F-E543-86A7-AB0A66EA9350}" srcOrd="1" destOrd="0" parTransId="{B05E9B28-1109-6549-9532-6F9E271E4097}" sibTransId="{F5DF3728-60E9-0941-87C2-5D1ED250F9FA}"/>
    <dgm:cxn modelId="{DCE0FAF0-13AB-DD49-8D84-16FAC4268E90}" srcId="{30B9120C-A549-A64B-835B-49533DE71AD0}" destId="{FAC3CFE4-BD09-2D47-BD21-C848F6FCF570}" srcOrd="2" destOrd="0" parTransId="{2D9E8D34-E437-5F43-99CC-2A0E989CCF70}" sibTransId="{0D19A6F6-5BBB-9142-8A10-C98D9A516641}"/>
    <dgm:cxn modelId="{862110FD-847C-4F4F-A610-8A7A6B787E7D}" srcId="{30B9120C-A549-A64B-835B-49533DE71AD0}" destId="{F53A3714-2242-4842-93CC-A8D732C2E36E}" srcOrd="6" destOrd="0" parTransId="{9294D1CA-9CFE-FB45-A246-7A7E3622A77E}" sibTransId="{B5751261-D8CB-2E45-86E1-6373E234D4E5}"/>
    <dgm:cxn modelId="{ACC25D24-C4F9-5E49-B27A-4FFFC1069E24}" type="presParOf" srcId="{3968C274-AC09-244B-9962-630782EBDF83}" destId="{F0D0FF66-B883-9B48-BC9E-DF29C2079D45}" srcOrd="0" destOrd="0" presId="urn:microsoft.com/office/officeart/2005/8/layout/cycle3"/>
    <dgm:cxn modelId="{36315088-C267-5B4A-8BE3-5A387D26369F}" type="presParOf" srcId="{F0D0FF66-B883-9B48-BC9E-DF29C2079D45}" destId="{D33B0571-2F15-B746-9DB8-F9623734FD82}" srcOrd="0" destOrd="0" presId="urn:microsoft.com/office/officeart/2005/8/layout/cycle3"/>
    <dgm:cxn modelId="{72235E9E-A2D9-1A42-B7F5-BBB1DC4F7F7C}" type="presParOf" srcId="{F0D0FF66-B883-9B48-BC9E-DF29C2079D45}" destId="{146D45C5-2619-6B40-9257-D682D5BD3F77}" srcOrd="1" destOrd="0" presId="urn:microsoft.com/office/officeart/2005/8/layout/cycle3"/>
    <dgm:cxn modelId="{8428B208-B761-4D41-8FF0-DABD1E9C2D9A}" type="presParOf" srcId="{F0D0FF66-B883-9B48-BC9E-DF29C2079D45}" destId="{9D4CEE63-B131-5648-A77C-8D595B075034}" srcOrd="2" destOrd="0" presId="urn:microsoft.com/office/officeart/2005/8/layout/cycle3"/>
    <dgm:cxn modelId="{7FC21038-CE0A-954B-8D1A-47FABDEAB127}" type="presParOf" srcId="{F0D0FF66-B883-9B48-BC9E-DF29C2079D45}" destId="{0899164B-D664-7D48-84EC-C2B9377500E1}" srcOrd="3" destOrd="0" presId="urn:microsoft.com/office/officeart/2005/8/layout/cycle3"/>
    <dgm:cxn modelId="{FDDD38EE-BFA2-0D46-BC49-75E364C42DBC}" type="presParOf" srcId="{F0D0FF66-B883-9B48-BC9E-DF29C2079D45}" destId="{C3967892-4AD6-9840-AA93-37BC913630A5}" srcOrd="4" destOrd="0" presId="urn:microsoft.com/office/officeart/2005/8/layout/cycle3"/>
    <dgm:cxn modelId="{49FE12A4-92B0-924D-A48B-4F396DED7AA4}" type="presParOf" srcId="{F0D0FF66-B883-9B48-BC9E-DF29C2079D45}" destId="{F67B0ECA-E080-894D-A307-887C92082128}" srcOrd="5" destOrd="0" presId="urn:microsoft.com/office/officeart/2005/8/layout/cycle3"/>
    <dgm:cxn modelId="{B160DED5-46AE-314D-A928-392E5A82F70E}" type="presParOf" srcId="{F0D0FF66-B883-9B48-BC9E-DF29C2079D45}" destId="{DCC3C460-D43D-064C-925F-8E0E7993C2FE}" srcOrd="6" destOrd="0" presId="urn:microsoft.com/office/officeart/2005/8/layout/cycle3"/>
    <dgm:cxn modelId="{A6A6E748-6C41-754F-8F0A-D93B98E499BE}" type="presParOf" srcId="{F0D0FF66-B883-9B48-BC9E-DF29C2079D45}" destId="{03C5489E-5C63-6542-BEE6-4AE4E6364C5B}" srcOrd="7" destOrd="0" presId="urn:microsoft.com/office/officeart/2005/8/layout/cycle3"/>
  </dgm:cxnLst>
  <dgm:bg/>
  <dgm:whole>
    <a:effectLst/>
  </dgm:whole>
  <dgm:extLst>
    <a:ext uri="http://schemas.microsoft.com/office/drawing/2008/diagram">
      <dsp:dataModelExt xmlns:dsp="http://schemas.microsoft.com/office/drawing/2008/diagram" relId="rId5"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30B9120C-A549-A64B-835B-49533DE71AD0}" type="doc">
      <dgm:prSet loTypeId="urn:microsoft.com/office/officeart/2005/8/layout/cycle3" loCatId="" qsTypeId="urn:microsoft.com/office/officeart/2005/8/quickstyle/simple4#3" qsCatId="simple" csTypeId="urn:microsoft.com/office/officeart/2005/8/colors/accent1_2#2" csCatId="accent1" phldr="1"/>
      <dgm:spPr/>
      <dgm:t>
        <a:bodyPr/>
        <a:lstStyle/>
        <a:p>
          <a:endParaRPr lang="es-ES_tradnl"/>
        </a:p>
      </dgm:t>
    </dgm:pt>
    <dgm:pt modelId="{C5F630DA-6FC6-6942-86FF-CD5F3B98837E}">
      <dgm:prSet phldrT="[Texto]"/>
      <dgm:spPr>
        <a:solidFill>
          <a:srgbClr val="7030A0">
            <a:alpha val="58000"/>
          </a:srgbClr>
        </a:solidFill>
      </dgm:spPr>
      <dgm:t>
        <a:bodyPr/>
        <a:lstStyle/>
        <a:p>
          <a:r>
            <a:rPr lang="es-ES_tradnl"/>
            <a:t>Contexto de  la Organizaci</a:t>
          </a:r>
          <a:r>
            <a:rPr lang="es-ES"/>
            <a:t>ón</a:t>
          </a:r>
          <a:endParaRPr lang="es-ES_tradnl"/>
        </a:p>
      </dgm:t>
      <dgm:extLst>
        <a:ext uri="{E40237B7-FDA0-4F09-8148-C483321AD2D9}">
          <dgm14:cNvPr xmlns:dgm14="http://schemas.microsoft.com/office/drawing/2010/diagram" id="0" name="">
            <a:hlinkClick xmlns:r="http://schemas.openxmlformats.org/officeDocument/2006/relationships" r:id="rId1"/>
          </dgm14:cNvPr>
        </a:ext>
      </dgm:extLst>
    </dgm:pt>
    <dgm:pt modelId="{4CB9913C-0B3F-D942-81DC-9F063FC9C26E}" type="parTrans" cxnId="{07783BCD-36F9-DD4F-AB0D-4CC3F4ABE664}">
      <dgm:prSet/>
      <dgm:spPr/>
      <dgm:t>
        <a:bodyPr/>
        <a:lstStyle/>
        <a:p>
          <a:endParaRPr lang="es-ES_tradnl"/>
        </a:p>
      </dgm:t>
    </dgm:pt>
    <dgm:pt modelId="{262CD28D-CD8D-7441-846F-37EC34290FC9}" type="sibTrans" cxnId="{07783BCD-36F9-DD4F-AB0D-4CC3F4ABE664}">
      <dgm:prSet/>
      <dgm:spPr>
        <a:solidFill>
          <a:srgbClr val="00B0F0"/>
        </a:solidFill>
      </dgm:spPr>
      <dgm:t>
        <a:bodyPr/>
        <a:lstStyle/>
        <a:p>
          <a:endParaRPr lang="es-ES_tradnl"/>
        </a:p>
      </dgm:t>
    </dgm:pt>
    <dgm:pt modelId="{83064208-620F-E543-86A7-AB0A66EA9350}">
      <dgm:prSet phldrT="[Texto]"/>
      <dgm:spPr>
        <a:solidFill>
          <a:srgbClr val="7030A0">
            <a:alpha val="58000"/>
          </a:srgbClr>
        </a:solidFill>
      </dgm:spPr>
      <dgm:t>
        <a:bodyPr/>
        <a:lstStyle/>
        <a:p>
          <a:r>
            <a:rPr lang="es-ES_tradnl"/>
            <a:t>Liderazgo</a:t>
          </a:r>
        </a:p>
      </dgm:t>
      <dgm:extLst>
        <a:ext uri="{E40237B7-FDA0-4F09-8148-C483321AD2D9}">
          <dgm14:cNvPr xmlns:dgm14="http://schemas.microsoft.com/office/drawing/2010/diagram" id="0" name="">
            <a:hlinkClick xmlns:r="http://schemas.openxmlformats.org/officeDocument/2006/relationships" r:id="rId2"/>
          </dgm14:cNvPr>
        </a:ext>
      </dgm:extLst>
    </dgm:pt>
    <dgm:pt modelId="{B05E9B28-1109-6549-9532-6F9E271E4097}" type="parTrans" cxnId="{D3D480EF-B880-4F4D-B2F6-A0D7E083A4BD}">
      <dgm:prSet/>
      <dgm:spPr/>
      <dgm:t>
        <a:bodyPr/>
        <a:lstStyle/>
        <a:p>
          <a:endParaRPr lang="es-ES_tradnl"/>
        </a:p>
      </dgm:t>
    </dgm:pt>
    <dgm:pt modelId="{F5DF3728-60E9-0941-87C2-5D1ED250F9FA}" type="sibTrans" cxnId="{D3D480EF-B880-4F4D-B2F6-A0D7E083A4BD}">
      <dgm:prSet/>
      <dgm:spPr/>
      <dgm:t>
        <a:bodyPr/>
        <a:lstStyle/>
        <a:p>
          <a:endParaRPr lang="es-ES_tradnl"/>
        </a:p>
      </dgm:t>
    </dgm:pt>
    <dgm:pt modelId="{FAC3CFE4-BD09-2D47-BD21-C848F6FCF570}">
      <dgm:prSet phldrT="[Texto]"/>
      <dgm:spPr>
        <a:solidFill>
          <a:srgbClr val="7030A0">
            <a:alpha val="58000"/>
          </a:srgbClr>
        </a:solidFill>
      </dgm:spPr>
      <dgm:t>
        <a:bodyPr/>
        <a:lstStyle/>
        <a:p>
          <a:r>
            <a:rPr lang="es-ES_tradnl"/>
            <a:t>Planificaci</a:t>
          </a:r>
          <a:r>
            <a:rPr lang="es-ES"/>
            <a:t>ón</a:t>
          </a:r>
          <a:endParaRPr lang="es-ES_tradnl"/>
        </a:p>
      </dgm:t>
      <dgm:extLst>
        <a:ext uri="{E40237B7-FDA0-4F09-8148-C483321AD2D9}">
          <dgm14:cNvPr xmlns:dgm14="http://schemas.microsoft.com/office/drawing/2010/diagram" id="0" name="">
            <a:hlinkClick xmlns:r="http://schemas.openxmlformats.org/officeDocument/2006/relationships" r:id="rId3"/>
          </dgm14:cNvPr>
        </a:ext>
      </dgm:extLst>
    </dgm:pt>
    <dgm:pt modelId="{2D9E8D34-E437-5F43-99CC-2A0E989CCF70}" type="parTrans" cxnId="{DCE0FAF0-13AB-DD49-8D84-16FAC4268E90}">
      <dgm:prSet/>
      <dgm:spPr/>
      <dgm:t>
        <a:bodyPr/>
        <a:lstStyle/>
        <a:p>
          <a:endParaRPr lang="es-ES_tradnl"/>
        </a:p>
      </dgm:t>
    </dgm:pt>
    <dgm:pt modelId="{0D19A6F6-5BBB-9142-8A10-C98D9A516641}" type="sibTrans" cxnId="{DCE0FAF0-13AB-DD49-8D84-16FAC4268E90}">
      <dgm:prSet/>
      <dgm:spPr/>
      <dgm:t>
        <a:bodyPr/>
        <a:lstStyle/>
        <a:p>
          <a:endParaRPr lang="es-ES_tradnl"/>
        </a:p>
      </dgm:t>
    </dgm:pt>
    <dgm:pt modelId="{F576C54C-A0FD-E846-ACC7-2D141452DB4A}">
      <dgm:prSet phldrT="[Texto]"/>
      <dgm:spPr>
        <a:solidFill>
          <a:srgbClr val="7030A0">
            <a:alpha val="58000"/>
          </a:srgbClr>
        </a:solidFill>
      </dgm:spPr>
      <dgm:t>
        <a:bodyPr/>
        <a:lstStyle/>
        <a:p>
          <a:r>
            <a:rPr lang="es-ES_tradnl"/>
            <a:t>Apoyo</a:t>
          </a:r>
        </a:p>
      </dgm:t>
      <dgm:extLst>
        <a:ext uri="{E40237B7-FDA0-4F09-8148-C483321AD2D9}">
          <dgm14:cNvPr xmlns:dgm14="http://schemas.microsoft.com/office/drawing/2010/diagram" id="0" name="">
            <a:hlinkClick xmlns:r="http://schemas.openxmlformats.org/officeDocument/2006/relationships" r:id="rId4"/>
          </dgm14:cNvPr>
        </a:ext>
      </dgm:extLst>
    </dgm:pt>
    <dgm:pt modelId="{7358B9C4-5699-3B40-B027-A7C79D9F25F4}" type="parTrans" cxnId="{E7AD0D1D-AAB9-D04E-A133-2A18A4EB39F0}">
      <dgm:prSet/>
      <dgm:spPr/>
      <dgm:t>
        <a:bodyPr/>
        <a:lstStyle/>
        <a:p>
          <a:endParaRPr lang="es-ES_tradnl"/>
        </a:p>
      </dgm:t>
    </dgm:pt>
    <dgm:pt modelId="{BE14CD04-9336-094B-9FE8-ACB0D1D79A74}" type="sibTrans" cxnId="{E7AD0D1D-AAB9-D04E-A133-2A18A4EB39F0}">
      <dgm:prSet/>
      <dgm:spPr/>
      <dgm:t>
        <a:bodyPr/>
        <a:lstStyle/>
        <a:p>
          <a:endParaRPr lang="es-ES_tradnl"/>
        </a:p>
      </dgm:t>
    </dgm:pt>
    <dgm:pt modelId="{CEBFDB80-762B-DB4A-A724-6B90DFDE3935}">
      <dgm:prSet phldrT="[Texto]"/>
      <dgm:spPr>
        <a:solidFill>
          <a:srgbClr val="7030A0">
            <a:alpha val="58000"/>
          </a:srgbClr>
        </a:solidFill>
      </dgm:spPr>
      <dgm:t>
        <a:bodyPr/>
        <a:lstStyle/>
        <a:p>
          <a:r>
            <a:rPr lang="es-ES"/>
            <a:t>Operación</a:t>
          </a:r>
          <a:endParaRPr lang="es-ES_tradnl"/>
        </a:p>
      </dgm:t>
      <dgm:extLst>
        <a:ext uri="{E40237B7-FDA0-4F09-8148-C483321AD2D9}">
          <dgm14:cNvPr xmlns:dgm14="http://schemas.microsoft.com/office/drawing/2010/diagram" id="0" name="">
            <a:hlinkClick xmlns:r="http://schemas.openxmlformats.org/officeDocument/2006/relationships" r:id="rId5"/>
          </dgm14:cNvPr>
        </a:ext>
      </dgm:extLst>
    </dgm:pt>
    <dgm:pt modelId="{EF8657B6-6645-7248-86CA-61E9566E9BE3}" type="parTrans" cxnId="{01312813-C51E-104F-9F92-351F2B16F7E0}">
      <dgm:prSet/>
      <dgm:spPr/>
      <dgm:t>
        <a:bodyPr/>
        <a:lstStyle/>
        <a:p>
          <a:endParaRPr lang="es-ES_tradnl"/>
        </a:p>
      </dgm:t>
    </dgm:pt>
    <dgm:pt modelId="{33374FAE-2BD0-D94E-8519-0A13B2D12E8A}" type="sibTrans" cxnId="{01312813-C51E-104F-9F92-351F2B16F7E0}">
      <dgm:prSet/>
      <dgm:spPr/>
      <dgm:t>
        <a:bodyPr/>
        <a:lstStyle/>
        <a:p>
          <a:endParaRPr lang="es-ES_tradnl"/>
        </a:p>
      </dgm:t>
    </dgm:pt>
    <dgm:pt modelId="{70E6DC62-E0C9-4544-99E6-6184BDB3F0AE}">
      <dgm:prSet/>
      <dgm:spPr>
        <a:solidFill>
          <a:srgbClr val="7030A0">
            <a:alpha val="58000"/>
          </a:srgbClr>
        </a:solidFill>
      </dgm:spPr>
      <dgm:t>
        <a:bodyPr/>
        <a:lstStyle/>
        <a:p>
          <a:r>
            <a:rPr lang="es-ES_tradnl"/>
            <a:t>Evaluaci</a:t>
          </a:r>
          <a:r>
            <a:rPr lang="es-ES"/>
            <a:t>ón del desempeño</a:t>
          </a:r>
          <a:endParaRPr lang="es-ES_tradnl"/>
        </a:p>
      </dgm:t>
      <dgm:extLst>
        <a:ext uri="{E40237B7-FDA0-4F09-8148-C483321AD2D9}">
          <dgm14:cNvPr xmlns:dgm14="http://schemas.microsoft.com/office/drawing/2010/diagram" id="0" name="">
            <a:hlinkClick xmlns:r="http://schemas.openxmlformats.org/officeDocument/2006/relationships" r:id="rId6"/>
          </dgm14:cNvPr>
        </a:ext>
      </dgm:extLst>
    </dgm:pt>
    <dgm:pt modelId="{C2C49EC0-B072-184C-B140-E26FB0AE9767}" type="parTrans" cxnId="{4E948937-0D30-7840-867F-E6FC510986E7}">
      <dgm:prSet/>
      <dgm:spPr/>
      <dgm:t>
        <a:bodyPr/>
        <a:lstStyle/>
        <a:p>
          <a:endParaRPr lang="es-ES_tradnl"/>
        </a:p>
      </dgm:t>
    </dgm:pt>
    <dgm:pt modelId="{B319036C-772C-3543-BEEA-865EC4FCEC08}" type="sibTrans" cxnId="{4E948937-0D30-7840-867F-E6FC510986E7}">
      <dgm:prSet/>
      <dgm:spPr/>
      <dgm:t>
        <a:bodyPr/>
        <a:lstStyle/>
        <a:p>
          <a:endParaRPr lang="es-ES_tradnl"/>
        </a:p>
      </dgm:t>
    </dgm:pt>
    <dgm:pt modelId="{F53A3714-2242-4842-93CC-A8D732C2E36E}">
      <dgm:prSet/>
      <dgm:spPr>
        <a:solidFill>
          <a:srgbClr val="7030A0">
            <a:alpha val="58000"/>
          </a:srgbClr>
        </a:solidFill>
      </dgm:spPr>
      <dgm:t>
        <a:bodyPr/>
        <a:lstStyle/>
        <a:p>
          <a:r>
            <a:rPr lang="es-ES_tradnl"/>
            <a:t>Mejora</a:t>
          </a:r>
        </a:p>
      </dgm:t>
      <dgm:extLst>
        <a:ext uri="{E40237B7-FDA0-4F09-8148-C483321AD2D9}">
          <dgm14:cNvPr xmlns:dgm14="http://schemas.microsoft.com/office/drawing/2010/diagram" id="0" name="">
            <a:hlinkClick xmlns:r="http://schemas.openxmlformats.org/officeDocument/2006/relationships" r:id="rId7"/>
          </dgm14:cNvPr>
        </a:ext>
      </dgm:extLst>
    </dgm:pt>
    <dgm:pt modelId="{9294D1CA-9CFE-FB45-A246-7A7E3622A77E}" type="parTrans" cxnId="{862110FD-847C-4F4F-A610-8A7A6B787E7D}">
      <dgm:prSet/>
      <dgm:spPr/>
      <dgm:t>
        <a:bodyPr/>
        <a:lstStyle/>
        <a:p>
          <a:endParaRPr lang="es-ES_tradnl"/>
        </a:p>
      </dgm:t>
    </dgm:pt>
    <dgm:pt modelId="{B5751261-D8CB-2E45-86E1-6373E234D4E5}" type="sibTrans" cxnId="{862110FD-847C-4F4F-A610-8A7A6B787E7D}">
      <dgm:prSet/>
      <dgm:spPr/>
      <dgm:t>
        <a:bodyPr/>
        <a:lstStyle/>
        <a:p>
          <a:endParaRPr lang="es-ES_tradnl"/>
        </a:p>
      </dgm:t>
    </dgm:pt>
    <dgm:pt modelId="{3968C274-AC09-244B-9962-630782EBDF83}" type="pres">
      <dgm:prSet presAssocID="{30B9120C-A549-A64B-835B-49533DE71AD0}" presName="Name0" presStyleCnt="0">
        <dgm:presLayoutVars>
          <dgm:dir/>
          <dgm:resizeHandles val="exact"/>
        </dgm:presLayoutVars>
      </dgm:prSet>
      <dgm:spPr/>
    </dgm:pt>
    <dgm:pt modelId="{F0D0FF66-B883-9B48-BC9E-DF29C2079D45}" type="pres">
      <dgm:prSet presAssocID="{30B9120C-A549-A64B-835B-49533DE71AD0}" presName="cycle" presStyleCnt="0"/>
      <dgm:spPr/>
    </dgm:pt>
    <dgm:pt modelId="{D33B0571-2F15-B746-9DB8-F9623734FD82}" type="pres">
      <dgm:prSet presAssocID="{C5F630DA-6FC6-6942-86FF-CD5F3B98837E}" presName="nodeFirstNode" presStyleLbl="node1" presStyleIdx="0" presStyleCnt="7">
        <dgm:presLayoutVars>
          <dgm:bulletEnabled val="1"/>
        </dgm:presLayoutVars>
      </dgm:prSet>
      <dgm:spPr/>
    </dgm:pt>
    <dgm:pt modelId="{146D45C5-2619-6B40-9257-D682D5BD3F77}" type="pres">
      <dgm:prSet presAssocID="{262CD28D-CD8D-7441-846F-37EC34290FC9}" presName="sibTransFirstNode" presStyleLbl="bgShp" presStyleIdx="0" presStyleCnt="1"/>
      <dgm:spPr/>
    </dgm:pt>
    <dgm:pt modelId="{9D4CEE63-B131-5648-A77C-8D595B075034}" type="pres">
      <dgm:prSet presAssocID="{83064208-620F-E543-86A7-AB0A66EA9350}" presName="nodeFollowingNodes" presStyleLbl="node1" presStyleIdx="1" presStyleCnt="7">
        <dgm:presLayoutVars>
          <dgm:bulletEnabled val="1"/>
        </dgm:presLayoutVars>
      </dgm:prSet>
      <dgm:spPr/>
    </dgm:pt>
    <dgm:pt modelId="{0899164B-D664-7D48-84EC-C2B9377500E1}" type="pres">
      <dgm:prSet presAssocID="{FAC3CFE4-BD09-2D47-BD21-C848F6FCF570}" presName="nodeFollowingNodes" presStyleLbl="node1" presStyleIdx="2" presStyleCnt="7">
        <dgm:presLayoutVars>
          <dgm:bulletEnabled val="1"/>
        </dgm:presLayoutVars>
      </dgm:prSet>
      <dgm:spPr/>
    </dgm:pt>
    <dgm:pt modelId="{C3967892-4AD6-9840-AA93-37BC913630A5}" type="pres">
      <dgm:prSet presAssocID="{F576C54C-A0FD-E846-ACC7-2D141452DB4A}" presName="nodeFollowingNodes" presStyleLbl="node1" presStyleIdx="3" presStyleCnt="7">
        <dgm:presLayoutVars>
          <dgm:bulletEnabled val="1"/>
        </dgm:presLayoutVars>
      </dgm:prSet>
      <dgm:spPr/>
    </dgm:pt>
    <dgm:pt modelId="{F67B0ECA-E080-894D-A307-887C92082128}" type="pres">
      <dgm:prSet presAssocID="{CEBFDB80-762B-DB4A-A724-6B90DFDE3935}" presName="nodeFollowingNodes" presStyleLbl="node1" presStyleIdx="4" presStyleCnt="7">
        <dgm:presLayoutVars>
          <dgm:bulletEnabled val="1"/>
        </dgm:presLayoutVars>
      </dgm:prSet>
      <dgm:spPr/>
    </dgm:pt>
    <dgm:pt modelId="{DCC3C460-D43D-064C-925F-8E0E7993C2FE}" type="pres">
      <dgm:prSet presAssocID="{70E6DC62-E0C9-4544-99E6-6184BDB3F0AE}" presName="nodeFollowingNodes" presStyleLbl="node1" presStyleIdx="5" presStyleCnt="7">
        <dgm:presLayoutVars>
          <dgm:bulletEnabled val="1"/>
        </dgm:presLayoutVars>
      </dgm:prSet>
      <dgm:spPr/>
    </dgm:pt>
    <dgm:pt modelId="{03C5489E-5C63-6542-BEE6-4AE4E6364C5B}" type="pres">
      <dgm:prSet presAssocID="{F53A3714-2242-4842-93CC-A8D732C2E36E}" presName="nodeFollowingNodes" presStyleLbl="node1" presStyleIdx="6" presStyleCnt="7">
        <dgm:presLayoutVars>
          <dgm:bulletEnabled val="1"/>
        </dgm:presLayoutVars>
      </dgm:prSet>
      <dgm:spPr/>
    </dgm:pt>
  </dgm:ptLst>
  <dgm:cxnLst>
    <dgm:cxn modelId="{01312813-C51E-104F-9F92-351F2B16F7E0}" srcId="{30B9120C-A549-A64B-835B-49533DE71AD0}" destId="{CEBFDB80-762B-DB4A-A724-6B90DFDE3935}" srcOrd="4" destOrd="0" parTransId="{EF8657B6-6645-7248-86CA-61E9566E9BE3}" sibTransId="{33374FAE-2BD0-D94E-8519-0A13B2D12E8A}"/>
    <dgm:cxn modelId="{E7AD0D1D-AAB9-D04E-A133-2A18A4EB39F0}" srcId="{30B9120C-A549-A64B-835B-49533DE71AD0}" destId="{F576C54C-A0FD-E846-ACC7-2D141452DB4A}" srcOrd="3" destOrd="0" parTransId="{7358B9C4-5699-3B40-B027-A7C79D9F25F4}" sibTransId="{BE14CD04-9336-094B-9FE8-ACB0D1D79A74}"/>
    <dgm:cxn modelId="{82B83D29-143A-2449-9F7B-765388EEB3EA}" type="presOf" srcId="{FAC3CFE4-BD09-2D47-BD21-C848F6FCF570}" destId="{0899164B-D664-7D48-84EC-C2B9377500E1}" srcOrd="0" destOrd="0" presId="urn:microsoft.com/office/officeart/2005/8/layout/cycle3"/>
    <dgm:cxn modelId="{4E948937-0D30-7840-867F-E6FC510986E7}" srcId="{30B9120C-A549-A64B-835B-49533DE71AD0}" destId="{70E6DC62-E0C9-4544-99E6-6184BDB3F0AE}" srcOrd="5" destOrd="0" parTransId="{C2C49EC0-B072-184C-B140-E26FB0AE9767}" sibTransId="{B319036C-772C-3543-BEEA-865EC4FCEC08}"/>
    <dgm:cxn modelId="{D3261D80-62C5-E54A-B65D-D56F1787D4FC}" type="presOf" srcId="{70E6DC62-E0C9-4544-99E6-6184BDB3F0AE}" destId="{DCC3C460-D43D-064C-925F-8E0E7993C2FE}" srcOrd="0" destOrd="0" presId="urn:microsoft.com/office/officeart/2005/8/layout/cycle3"/>
    <dgm:cxn modelId="{FC504586-044D-FC44-8526-72212AE5CF59}" type="presOf" srcId="{262CD28D-CD8D-7441-846F-37EC34290FC9}" destId="{146D45C5-2619-6B40-9257-D682D5BD3F77}" srcOrd="0" destOrd="0" presId="urn:microsoft.com/office/officeart/2005/8/layout/cycle3"/>
    <dgm:cxn modelId="{3E979A90-E321-1942-B729-75448ED14DAB}" type="presOf" srcId="{F576C54C-A0FD-E846-ACC7-2D141452DB4A}" destId="{C3967892-4AD6-9840-AA93-37BC913630A5}" srcOrd="0" destOrd="0" presId="urn:microsoft.com/office/officeart/2005/8/layout/cycle3"/>
    <dgm:cxn modelId="{1D743D93-576C-594E-8FFA-69EDC871A815}" type="presOf" srcId="{83064208-620F-E543-86A7-AB0A66EA9350}" destId="{9D4CEE63-B131-5648-A77C-8D595B075034}" srcOrd="0" destOrd="0" presId="urn:microsoft.com/office/officeart/2005/8/layout/cycle3"/>
    <dgm:cxn modelId="{7530BEB7-F7B3-B648-B9B4-B136DAC674A7}" type="presOf" srcId="{F53A3714-2242-4842-93CC-A8D732C2E36E}" destId="{03C5489E-5C63-6542-BEE6-4AE4E6364C5B}" srcOrd="0" destOrd="0" presId="urn:microsoft.com/office/officeart/2005/8/layout/cycle3"/>
    <dgm:cxn modelId="{2B6F16C6-FB59-884D-A708-076734A8926D}" type="presOf" srcId="{C5F630DA-6FC6-6942-86FF-CD5F3B98837E}" destId="{D33B0571-2F15-B746-9DB8-F9623734FD82}" srcOrd="0" destOrd="0" presId="urn:microsoft.com/office/officeart/2005/8/layout/cycle3"/>
    <dgm:cxn modelId="{07783BCD-36F9-DD4F-AB0D-4CC3F4ABE664}" srcId="{30B9120C-A549-A64B-835B-49533DE71AD0}" destId="{C5F630DA-6FC6-6942-86FF-CD5F3B98837E}" srcOrd="0" destOrd="0" parTransId="{4CB9913C-0B3F-D942-81DC-9F063FC9C26E}" sibTransId="{262CD28D-CD8D-7441-846F-37EC34290FC9}"/>
    <dgm:cxn modelId="{5EFA7BCF-A73D-F041-BBFF-1C2D808F0123}" type="presOf" srcId="{30B9120C-A549-A64B-835B-49533DE71AD0}" destId="{3968C274-AC09-244B-9962-630782EBDF83}" srcOrd="0" destOrd="0" presId="urn:microsoft.com/office/officeart/2005/8/layout/cycle3"/>
    <dgm:cxn modelId="{D3D480EF-B880-4F4D-B2F6-A0D7E083A4BD}" srcId="{30B9120C-A549-A64B-835B-49533DE71AD0}" destId="{83064208-620F-E543-86A7-AB0A66EA9350}" srcOrd="1" destOrd="0" parTransId="{B05E9B28-1109-6549-9532-6F9E271E4097}" sibTransId="{F5DF3728-60E9-0941-87C2-5D1ED250F9FA}"/>
    <dgm:cxn modelId="{DCE0FAF0-13AB-DD49-8D84-16FAC4268E90}" srcId="{30B9120C-A549-A64B-835B-49533DE71AD0}" destId="{FAC3CFE4-BD09-2D47-BD21-C848F6FCF570}" srcOrd="2" destOrd="0" parTransId="{2D9E8D34-E437-5F43-99CC-2A0E989CCF70}" sibTransId="{0D19A6F6-5BBB-9142-8A10-C98D9A516641}"/>
    <dgm:cxn modelId="{D56D68F8-580A-F540-A160-A68A0A8B43C6}" type="presOf" srcId="{CEBFDB80-762B-DB4A-A724-6B90DFDE3935}" destId="{F67B0ECA-E080-894D-A307-887C92082128}" srcOrd="0" destOrd="0" presId="urn:microsoft.com/office/officeart/2005/8/layout/cycle3"/>
    <dgm:cxn modelId="{862110FD-847C-4F4F-A610-8A7A6B787E7D}" srcId="{30B9120C-A549-A64B-835B-49533DE71AD0}" destId="{F53A3714-2242-4842-93CC-A8D732C2E36E}" srcOrd="6" destOrd="0" parTransId="{9294D1CA-9CFE-FB45-A246-7A7E3622A77E}" sibTransId="{B5751261-D8CB-2E45-86E1-6373E234D4E5}"/>
    <dgm:cxn modelId="{52DB2D16-2AF4-744D-BB30-3A758672650F}" type="presParOf" srcId="{3968C274-AC09-244B-9962-630782EBDF83}" destId="{F0D0FF66-B883-9B48-BC9E-DF29C2079D45}" srcOrd="0" destOrd="0" presId="urn:microsoft.com/office/officeart/2005/8/layout/cycle3"/>
    <dgm:cxn modelId="{ECB1B748-64FF-6C4B-B934-87AD5C951E35}" type="presParOf" srcId="{F0D0FF66-B883-9B48-BC9E-DF29C2079D45}" destId="{D33B0571-2F15-B746-9DB8-F9623734FD82}" srcOrd="0" destOrd="0" presId="urn:microsoft.com/office/officeart/2005/8/layout/cycle3"/>
    <dgm:cxn modelId="{FC207130-2E5D-0F48-9E03-6AB6493C8963}" type="presParOf" srcId="{F0D0FF66-B883-9B48-BC9E-DF29C2079D45}" destId="{146D45C5-2619-6B40-9257-D682D5BD3F77}" srcOrd="1" destOrd="0" presId="urn:microsoft.com/office/officeart/2005/8/layout/cycle3"/>
    <dgm:cxn modelId="{0D94AED4-75C2-594D-978C-B0A0A7212A88}" type="presParOf" srcId="{F0D0FF66-B883-9B48-BC9E-DF29C2079D45}" destId="{9D4CEE63-B131-5648-A77C-8D595B075034}" srcOrd="2" destOrd="0" presId="urn:microsoft.com/office/officeart/2005/8/layout/cycle3"/>
    <dgm:cxn modelId="{A7340E1F-669A-D140-8502-A84F55C58843}" type="presParOf" srcId="{F0D0FF66-B883-9B48-BC9E-DF29C2079D45}" destId="{0899164B-D664-7D48-84EC-C2B9377500E1}" srcOrd="3" destOrd="0" presId="urn:microsoft.com/office/officeart/2005/8/layout/cycle3"/>
    <dgm:cxn modelId="{FD3CB7D0-1147-924E-8310-F773E1D42F5E}" type="presParOf" srcId="{F0D0FF66-B883-9B48-BC9E-DF29C2079D45}" destId="{C3967892-4AD6-9840-AA93-37BC913630A5}" srcOrd="4" destOrd="0" presId="urn:microsoft.com/office/officeart/2005/8/layout/cycle3"/>
    <dgm:cxn modelId="{FBB1FC53-D63F-B24E-B0D9-3EA9A5CFFADA}" type="presParOf" srcId="{F0D0FF66-B883-9B48-BC9E-DF29C2079D45}" destId="{F67B0ECA-E080-894D-A307-887C92082128}" srcOrd="5" destOrd="0" presId="urn:microsoft.com/office/officeart/2005/8/layout/cycle3"/>
    <dgm:cxn modelId="{48124BF3-3BF4-0744-BD48-EFDF8A3B91B6}" type="presParOf" srcId="{F0D0FF66-B883-9B48-BC9E-DF29C2079D45}" destId="{DCC3C460-D43D-064C-925F-8E0E7993C2FE}" srcOrd="6" destOrd="0" presId="urn:microsoft.com/office/officeart/2005/8/layout/cycle3"/>
    <dgm:cxn modelId="{F7229784-6F32-DE41-9AFD-616D7D860DAF}" type="presParOf" srcId="{F0D0FF66-B883-9B48-BC9E-DF29C2079D45}" destId="{03C5489E-5C63-6542-BEE6-4AE4E6364C5B}" srcOrd="7" destOrd="0" presId="urn:microsoft.com/office/officeart/2005/8/layout/cycle3"/>
  </dgm:cxnLst>
  <dgm:bg/>
  <dgm:whole>
    <a:effectLst/>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46D45C5-2619-6B40-9257-D682D5BD3F77}">
      <dsp:nvSpPr>
        <dsp:cNvPr id="0" name=""/>
        <dsp:cNvSpPr/>
      </dsp:nvSpPr>
      <dsp:spPr>
        <a:xfrm>
          <a:off x="731406" y="-29390"/>
          <a:ext cx="4696686" cy="4696686"/>
        </a:xfrm>
        <a:prstGeom prst="circularArrow">
          <a:avLst>
            <a:gd name="adj1" fmla="val 5544"/>
            <a:gd name="adj2" fmla="val 330680"/>
            <a:gd name="adj3" fmla="val 14526429"/>
            <a:gd name="adj4" fmla="val 16944142"/>
            <a:gd name="adj5" fmla="val 5757"/>
          </a:avLst>
        </a:prstGeom>
        <a:solidFill>
          <a:srgbClr val="00B0F0"/>
        </a:solid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D33B0571-2F15-B746-9DB8-F9623734FD82}">
      <dsp:nvSpPr>
        <dsp:cNvPr id="0" name=""/>
        <dsp:cNvSpPr/>
      </dsp:nvSpPr>
      <dsp:spPr>
        <a:xfrm>
          <a:off x="2354174" y="3657"/>
          <a:ext cx="1451151" cy="725575"/>
        </a:xfrm>
        <a:prstGeom prst="roundRect">
          <a:avLst/>
        </a:prstGeom>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s-ES_tradnl" sz="1600" kern="1200"/>
            <a:t>Contexto de  la Organizaci</a:t>
          </a:r>
          <a:r>
            <a:rPr lang="es-ES" sz="1600" kern="1200"/>
            <a:t>ón</a:t>
          </a:r>
          <a:endParaRPr lang="es-ES_tradnl" sz="1600" kern="1200"/>
        </a:p>
      </dsp:txBody>
      <dsp:txXfrm>
        <a:off x="2389594" y="39077"/>
        <a:ext cx="1380311" cy="654735"/>
      </dsp:txXfrm>
    </dsp:sp>
    <dsp:sp modelId="{9D4CEE63-B131-5648-A77C-8D595B075034}">
      <dsp:nvSpPr>
        <dsp:cNvPr id="0" name=""/>
        <dsp:cNvSpPr/>
      </dsp:nvSpPr>
      <dsp:spPr>
        <a:xfrm>
          <a:off x="3920066" y="757751"/>
          <a:ext cx="1451151" cy="725575"/>
        </a:xfrm>
        <a:prstGeom prst="roundRect">
          <a:avLst/>
        </a:prstGeom>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s-ES_tradnl" sz="1600" kern="1200"/>
            <a:t>Liderazgo</a:t>
          </a:r>
        </a:p>
      </dsp:txBody>
      <dsp:txXfrm>
        <a:off x="3955486" y="793171"/>
        <a:ext cx="1380311" cy="654735"/>
      </dsp:txXfrm>
    </dsp:sp>
    <dsp:sp modelId="{0899164B-D664-7D48-84EC-C2B9377500E1}">
      <dsp:nvSpPr>
        <dsp:cNvPr id="0" name=""/>
        <dsp:cNvSpPr/>
      </dsp:nvSpPr>
      <dsp:spPr>
        <a:xfrm>
          <a:off x="4306809" y="2452185"/>
          <a:ext cx="1451151" cy="725575"/>
        </a:xfrm>
        <a:prstGeom prst="roundRect">
          <a:avLst/>
        </a:prstGeom>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s-ES_tradnl" sz="1600" kern="1200"/>
            <a:t>Planificaci</a:t>
          </a:r>
          <a:r>
            <a:rPr lang="es-ES" sz="1600" kern="1200"/>
            <a:t>ón</a:t>
          </a:r>
          <a:endParaRPr lang="es-ES_tradnl" sz="1600" kern="1200"/>
        </a:p>
      </dsp:txBody>
      <dsp:txXfrm>
        <a:off x="4342229" y="2487605"/>
        <a:ext cx="1380311" cy="654735"/>
      </dsp:txXfrm>
    </dsp:sp>
    <dsp:sp modelId="{C3967892-4AD6-9840-AA93-37BC913630A5}">
      <dsp:nvSpPr>
        <dsp:cNvPr id="0" name=""/>
        <dsp:cNvSpPr/>
      </dsp:nvSpPr>
      <dsp:spPr>
        <a:xfrm>
          <a:off x="3223178" y="3811016"/>
          <a:ext cx="1451151" cy="725575"/>
        </a:xfrm>
        <a:prstGeom prst="roundRect">
          <a:avLst/>
        </a:prstGeom>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s-ES_tradnl" sz="1600" kern="1200"/>
            <a:t>Apoyo</a:t>
          </a:r>
        </a:p>
      </dsp:txBody>
      <dsp:txXfrm>
        <a:off x="3258598" y="3846436"/>
        <a:ext cx="1380311" cy="654735"/>
      </dsp:txXfrm>
    </dsp:sp>
    <dsp:sp modelId="{F67B0ECA-E080-894D-A307-887C92082128}">
      <dsp:nvSpPr>
        <dsp:cNvPr id="0" name=""/>
        <dsp:cNvSpPr/>
      </dsp:nvSpPr>
      <dsp:spPr>
        <a:xfrm>
          <a:off x="1485169" y="3811016"/>
          <a:ext cx="1451151" cy="725575"/>
        </a:xfrm>
        <a:prstGeom prst="roundRect">
          <a:avLst/>
        </a:prstGeom>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s-ES" sz="1600" kern="1200"/>
            <a:t>Operación</a:t>
          </a:r>
          <a:endParaRPr lang="es-ES_tradnl" sz="1600" kern="1200"/>
        </a:p>
      </dsp:txBody>
      <dsp:txXfrm>
        <a:off x="1520589" y="3846436"/>
        <a:ext cx="1380311" cy="654735"/>
      </dsp:txXfrm>
    </dsp:sp>
    <dsp:sp modelId="{DCC3C460-D43D-064C-925F-8E0E7993C2FE}">
      <dsp:nvSpPr>
        <dsp:cNvPr id="0" name=""/>
        <dsp:cNvSpPr/>
      </dsp:nvSpPr>
      <dsp:spPr>
        <a:xfrm>
          <a:off x="401538" y="2452185"/>
          <a:ext cx="1451151" cy="725575"/>
        </a:xfrm>
        <a:prstGeom prst="roundRect">
          <a:avLst/>
        </a:prstGeom>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s-ES_tradnl" sz="1600" kern="1200"/>
            <a:t>Evaluaci</a:t>
          </a:r>
          <a:r>
            <a:rPr lang="es-ES" sz="1600" kern="1200"/>
            <a:t>ón del desempeño</a:t>
          </a:r>
          <a:endParaRPr lang="es-ES_tradnl" sz="1600" kern="1200"/>
        </a:p>
      </dsp:txBody>
      <dsp:txXfrm>
        <a:off x="436958" y="2487605"/>
        <a:ext cx="1380311" cy="654735"/>
      </dsp:txXfrm>
    </dsp:sp>
    <dsp:sp modelId="{03C5489E-5C63-6542-BEE6-4AE4E6364C5B}">
      <dsp:nvSpPr>
        <dsp:cNvPr id="0" name=""/>
        <dsp:cNvSpPr/>
      </dsp:nvSpPr>
      <dsp:spPr>
        <a:xfrm>
          <a:off x="788281" y="757751"/>
          <a:ext cx="1451151" cy="725575"/>
        </a:xfrm>
        <a:prstGeom prst="roundRect">
          <a:avLst/>
        </a:prstGeom>
        <a:gradFill rotWithShape="0">
          <a:gsLst>
            <a:gs pos="93750">
              <a:srgbClr val="94BAF7"/>
            </a:gs>
            <a:gs pos="87500">
              <a:srgbClr val="8CB2EF"/>
            </a:gs>
            <a:gs pos="75000">
              <a:srgbClr val="7CA3DF"/>
            </a:gs>
            <a:gs pos="50000">
              <a:srgbClr val="5D85BE"/>
            </a:gs>
            <a:gs pos="0">
              <a:schemeClr val="tx2">
                <a:alpha val="42000"/>
              </a:schemeClr>
            </a:gs>
            <a:gs pos="100000">
              <a:schemeClr val="accent1">
                <a:hueOff val="0"/>
                <a:satOff val="0"/>
                <a:lumOff val="0"/>
                <a:alphaOff val="0"/>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s-ES_tradnl" sz="1600" kern="1200"/>
            <a:t>Mejora</a:t>
          </a:r>
        </a:p>
      </dsp:txBody>
      <dsp:txXfrm>
        <a:off x="823701" y="793171"/>
        <a:ext cx="1380311" cy="65473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46D45C5-2619-6B40-9257-D682D5BD3F77}">
      <dsp:nvSpPr>
        <dsp:cNvPr id="0" name=""/>
        <dsp:cNvSpPr/>
      </dsp:nvSpPr>
      <dsp:spPr>
        <a:xfrm>
          <a:off x="1368441" y="-27644"/>
          <a:ext cx="4062234" cy="4062234"/>
        </a:xfrm>
        <a:prstGeom prst="circularArrow">
          <a:avLst>
            <a:gd name="adj1" fmla="val 5544"/>
            <a:gd name="adj2" fmla="val 330680"/>
            <a:gd name="adj3" fmla="val 14519266"/>
            <a:gd name="adj4" fmla="val 16948237"/>
            <a:gd name="adj5" fmla="val 5757"/>
          </a:avLst>
        </a:prstGeom>
        <a:solidFill>
          <a:srgbClr val="00B0F0"/>
        </a:solid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D33B0571-2F15-B746-9DB8-F9623734FD82}">
      <dsp:nvSpPr>
        <dsp:cNvPr id="0" name=""/>
        <dsp:cNvSpPr/>
      </dsp:nvSpPr>
      <dsp:spPr>
        <a:xfrm>
          <a:off x="2768781" y="529"/>
          <a:ext cx="1261555" cy="630777"/>
        </a:xfrm>
        <a:prstGeom prst="roundRect">
          <a:avLst/>
        </a:prstGeom>
        <a:gradFill rotWithShape="0">
          <a:gsLst>
            <a:gs pos="0">
              <a:schemeClr val="accent3">
                <a:alpha val="90000"/>
                <a:hueOff val="0"/>
                <a:satOff val="0"/>
                <a:lumOff val="0"/>
                <a:alphaOff val="0"/>
                <a:tint val="100000"/>
                <a:shade val="100000"/>
                <a:satMod val="130000"/>
              </a:schemeClr>
            </a:gs>
            <a:gs pos="100000">
              <a:schemeClr val="accent3">
                <a:alpha val="90000"/>
                <a:hueOff val="0"/>
                <a:satOff val="0"/>
                <a:lumOff val="0"/>
                <a:alphaOff val="0"/>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s-ES_tradnl" sz="1400" kern="1200">
              <a:solidFill>
                <a:schemeClr val="tx1"/>
              </a:solidFill>
            </a:rPr>
            <a:t>Contexto de  la Organizaci</a:t>
          </a:r>
          <a:r>
            <a:rPr lang="es-ES" sz="1400" kern="1200">
              <a:solidFill>
                <a:schemeClr val="tx1"/>
              </a:solidFill>
            </a:rPr>
            <a:t>ón</a:t>
          </a:r>
          <a:endParaRPr lang="es-ES_tradnl" sz="1400" kern="1200">
            <a:solidFill>
              <a:schemeClr val="tx1"/>
            </a:solidFill>
          </a:endParaRPr>
        </a:p>
      </dsp:txBody>
      <dsp:txXfrm>
        <a:off x="2799573" y="31321"/>
        <a:ext cx="1199971" cy="569193"/>
      </dsp:txXfrm>
    </dsp:sp>
    <dsp:sp modelId="{9D4CEE63-B131-5648-A77C-8D595B075034}">
      <dsp:nvSpPr>
        <dsp:cNvPr id="0" name=""/>
        <dsp:cNvSpPr/>
      </dsp:nvSpPr>
      <dsp:spPr>
        <a:xfrm>
          <a:off x="4123145" y="652756"/>
          <a:ext cx="1261555" cy="630777"/>
        </a:xfrm>
        <a:prstGeom prst="roundRect">
          <a:avLst/>
        </a:prstGeom>
        <a:gradFill rotWithShape="0">
          <a:gsLst>
            <a:gs pos="0">
              <a:schemeClr val="accent3">
                <a:alpha val="90000"/>
                <a:hueOff val="0"/>
                <a:satOff val="0"/>
                <a:lumOff val="0"/>
                <a:alphaOff val="-6667"/>
                <a:tint val="100000"/>
                <a:shade val="100000"/>
                <a:satMod val="130000"/>
              </a:schemeClr>
            </a:gs>
            <a:gs pos="100000">
              <a:schemeClr val="accent3">
                <a:alpha val="90000"/>
                <a:hueOff val="0"/>
                <a:satOff val="0"/>
                <a:lumOff val="0"/>
                <a:alphaOff val="-6667"/>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s-ES_tradnl" sz="1400" kern="1200">
              <a:solidFill>
                <a:schemeClr val="tx1"/>
              </a:solidFill>
            </a:rPr>
            <a:t>Liderazgo</a:t>
          </a:r>
        </a:p>
      </dsp:txBody>
      <dsp:txXfrm>
        <a:off x="4153937" y="683548"/>
        <a:ext cx="1199971" cy="569193"/>
      </dsp:txXfrm>
    </dsp:sp>
    <dsp:sp modelId="{0899164B-D664-7D48-84EC-C2B9377500E1}">
      <dsp:nvSpPr>
        <dsp:cNvPr id="0" name=""/>
        <dsp:cNvSpPr/>
      </dsp:nvSpPr>
      <dsp:spPr>
        <a:xfrm>
          <a:off x="4457645" y="2118297"/>
          <a:ext cx="1261555" cy="630777"/>
        </a:xfrm>
        <a:prstGeom prst="roundRect">
          <a:avLst/>
        </a:prstGeom>
        <a:gradFill rotWithShape="0">
          <a:gsLst>
            <a:gs pos="0">
              <a:schemeClr val="accent3">
                <a:alpha val="90000"/>
                <a:hueOff val="0"/>
                <a:satOff val="0"/>
                <a:lumOff val="0"/>
                <a:alphaOff val="-13333"/>
                <a:tint val="100000"/>
                <a:shade val="100000"/>
                <a:satMod val="130000"/>
              </a:schemeClr>
            </a:gs>
            <a:gs pos="100000">
              <a:schemeClr val="accent3">
                <a:alpha val="90000"/>
                <a:hueOff val="0"/>
                <a:satOff val="0"/>
                <a:lumOff val="0"/>
                <a:alphaOff val="-13333"/>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s-ES_tradnl" sz="1400" kern="1200">
              <a:solidFill>
                <a:schemeClr val="tx1"/>
              </a:solidFill>
            </a:rPr>
            <a:t>Planificaci</a:t>
          </a:r>
          <a:r>
            <a:rPr lang="es-ES" sz="1400" kern="1200">
              <a:solidFill>
                <a:schemeClr val="tx1"/>
              </a:solidFill>
            </a:rPr>
            <a:t>ón</a:t>
          </a:r>
          <a:endParaRPr lang="es-ES_tradnl" sz="1400" kern="1200">
            <a:solidFill>
              <a:schemeClr val="tx1"/>
            </a:solidFill>
          </a:endParaRPr>
        </a:p>
      </dsp:txBody>
      <dsp:txXfrm>
        <a:off x="4488437" y="2149089"/>
        <a:ext cx="1199971" cy="569193"/>
      </dsp:txXfrm>
    </dsp:sp>
    <dsp:sp modelId="{C3967892-4AD6-9840-AA93-37BC913630A5}">
      <dsp:nvSpPr>
        <dsp:cNvPr id="0" name=""/>
        <dsp:cNvSpPr/>
      </dsp:nvSpPr>
      <dsp:spPr>
        <a:xfrm>
          <a:off x="3520396" y="3293570"/>
          <a:ext cx="1261555" cy="630777"/>
        </a:xfrm>
        <a:prstGeom prst="roundRect">
          <a:avLst/>
        </a:prstGeom>
        <a:gradFill rotWithShape="0">
          <a:gsLst>
            <a:gs pos="0">
              <a:schemeClr val="accent3">
                <a:alpha val="90000"/>
                <a:hueOff val="0"/>
                <a:satOff val="0"/>
                <a:lumOff val="0"/>
                <a:alphaOff val="-20000"/>
                <a:tint val="100000"/>
                <a:shade val="100000"/>
                <a:satMod val="130000"/>
              </a:schemeClr>
            </a:gs>
            <a:gs pos="100000">
              <a:schemeClr val="accent3">
                <a:alpha val="90000"/>
                <a:hueOff val="0"/>
                <a:satOff val="0"/>
                <a:lumOff val="0"/>
                <a:alphaOff val="-20000"/>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s-ES_tradnl" sz="1400" kern="1200">
              <a:solidFill>
                <a:schemeClr val="tx1"/>
              </a:solidFill>
            </a:rPr>
            <a:t>Apoyo</a:t>
          </a:r>
        </a:p>
      </dsp:txBody>
      <dsp:txXfrm>
        <a:off x="3551188" y="3324362"/>
        <a:ext cx="1199971" cy="569193"/>
      </dsp:txXfrm>
    </dsp:sp>
    <dsp:sp modelId="{F67B0ECA-E080-894D-A307-887C92082128}">
      <dsp:nvSpPr>
        <dsp:cNvPr id="0" name=""/>
        <dsp:cNvSpPr/>
      </dsp:nvSpPr>
      <dsp:spPr>
        <a:xfrm>
          <a:off x="2017166" y="3293570"/>
          <a:ext cx="1261555" cy="630777"/>
        </a:xfrm>
        <a:prstGeom prst="roundRect">
          <a:avLst/>
        </a:prstGeom>
        <a:gradFill rotWithShape="0">
          <a:gsLst>
            <a:gs pos="0">
              <a:schemeClr val="accent3">
                <a:alpha val="90000"/>
                <a:hueOff val="0"/>
                <a:satOff val="0"/>
                <a:lumOff val="0"/>
                <a:alphaOff val="-26667"/>
                <a:tint val="100000"/>
                <a:shade val="100000"/>
                <a:satMod val="130000"/>
              </a:schemeClr>
            </a:gs>
            <a:gs pos="100000">
              <a:schemeClr val="accent3">
                <a:alpha val="90000"/>
                <a:hueOff val="0"/>
                <a:satOff val="0"/>
                <a:lumOff val="0"/>
                <a:alphaOff val="-26667"/>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s-ES" sz="1400" kern="1200">
              <a:solidFill>
                <a:schemeClr val="tx1"/>
              </a:solidFill>
            </a:rPr>
            <a:t>Operación</a:t>
          </a:r>
          <a:endParaRPr lang="es-ES_tradnl" sz="1400" kern="1200">
            <a:solidFill>
              <a:schemeClr val="tx1"/>
            </a:solidFill>
          </a:endParaRPr>
        </a:p>
      </dsp:txBody>
      <dsp:txXfrm>
        <a:off x="2047958" y="3324362"/>
        <a:ext cx="1199971" cy="569193"/>
      </dsp:txXfrm>
    </dsp:sp>
    <dsp:sp modelId="{DCC3C460-D43D-064C-925F-8E0E7993C2FE}">
      <dsp:nvSpPr>
        <dsp:cNvPr id="0" name=""/>
        <dsp:cNvSpPr/>
      </dsp:nvSpPr>
      <dsp:spPr>
        <a:xfrm>
          <a:off x="1079917" y="2118297"/>
          <a:ext cx="1261555" cy="630777"/>
        </a:xfrm>
        <a:prstGeom prst="roundRect">
          <a:avLst/>
        </a:prstGeom>
        <a:gradFill rotWithShape="0">
          <a:gsLst>
            <a:gs pos="0">
              <a:schemeClr val="accent3">
                <a:alpha val="90000"/>
                <a:hueOff val="0"/>
                <a:satOff val="0"/>
                <a:lumOff val="0"/>
                <a:alphaOff val="-33333"/>
                <a:tint val="100000"/>
                <a:shade val="100000"/>
                <a:satMod val="130000"/>
              </a:schemeClr>
            </a:gs>
            <a:gs pos="100000">
              <a:schemeClr val="accent3">
                <a:alpha val="90000"/>
                <a:hueOff val="0"/>
                <a:satOff val="0"/>
                <a:lumOff val="0"/>
                <a:alphaOff val="-33333"/>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s-ES_tradnl" sz="1400" kern="1200">
              <a:solidFill>
                <a:schemeClr val="tx1"/>
              </a:solidFill>
            </a:rPr>
            <a:t>Evaluaci</a:t>
          </a:r>
          <a:r>
            <a:rPr lang="es-ES" sz="1400" kern="1200">
              <a:solidFill>
                <a:schemeClr val="tx1"/>
              </a:solidFill>
            </a:rPr>
            <a:t>ón del desempeño</a:t>
          </a:r>
          <a:endParaRPr lang="es-ES_tradnl" sz="1400" kern="1200">
            <a:solidFill>
              <a:schemeClr val="tx1"/>
            </a:solidFill>
          </a:endParaRPr>
        </a:p>
      </dsp:txBody>
      <dsp:txXfrm>
        <a:off x="1110709" y="2149089"/>
        <a:ext cx="1199971" cy="569193"/>
      </dsp:txXfrm>
    </dsp:sp>
    <dsp:sp modelId="{03C5489E-5C63-6542-BEE6-4AE4E6364C5B}">
      <dsp:nvSpPr>
        <dsp:cNvPr id="0" name=""/>
        <dsp:cNvSpPr/>
      </dsp:nvSpPr>
      <dsp:spPr>
        <a:xfrm>
          <a:off x="1414417" y="652756"/>
          <a:ext cx="1261555" cy="630777"/>
        </a:xfrm>
        <a:prstGeom prst="roundRect">
          <a:avLst/>
        </a:prstGeom>
        <a:gradFill rotWithShape="0">
          <a:gsLst>
            <a:gs pos="0">
              <a:schemeClr val="accent3">
                <a:alpha val="90000"/>
                <a:hueOff val="0"/>
                <a:satOff val="0"/>
                <a:lumOff val="0"/>
                <a:alphaOff val="-40000"/>
                <a:tint val="100000"/>
                <a:shade val="100000"/>
                <a:satMod val="130000"/>
              </a:schemeClr>
            </a:gs>
            <a:gs pos="100000">
              <a:schemeClr val="accent3">
                <a:alpha val="90000"/>
                <a:hueOff val="0"/>
                <a:satOff val="0"/>
                <a:lumOff val="0"/>
                <a:alphaOff val="-40000"/>
                <a:tint val="50000"/>
                <a:shade val="100000"/>
                <a:satMod val="350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s-ES_tradnl" sz="1400" kern="1200">
              <a:solidFill>
                <a:schemeClr val="tx1"/>
              </a:solidFill>
            </a:rPr>
            <a:t>Mejora</a:t>
          </a:r>
        </a:p>
      </dsp:txBody>
      <dsp:txXfrm>
        <a:off x="1445209" y="683548"/>
        <a:ext cx="1199971" cy="569193"/>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46D45C5-2619-6B40-9257-D682D5BD3F77}">
      <dsp:nvSpPr>
        <dsp:cNvPr id="0" name=""/>
        <dsp:cNvSpPr/>
      </dsp:nvSpPr>
      <dsp:spPr>
        <a:xfrm>
          <a:off x="749019" y="-32970"/>
          <a:ext cx="5295307" cy="5295307"/>
        </a:xfrm>
        <a:prstGeom prst="circularArrow">
          <a:avLst>
            <a:gd name="adj1" fmla="val 5544"/>
            <a:gd name="adj2" fmla="val 330680"/>
            <a:gd name="adj3" fmla="val 14517191"/>
            <a:gd name="adj4" fmla="val 16949423"/>
            <a:gd name="adj5" fmla="val 5757"/>
          </a:avLst>
        </a:prstGeom>
        <a:solidFill>
          <a:srgbClr val="00B0F0"/>
        </a:solidFill>
        <a:ln>
          <a:noFill/>
        </a:ln>
        <a:effectLst>
          <a:outerShdw blurRad="40000" dist="23000" dir="5400000" rotWithShape="0">
            <a:srgbClr val="000000">
              <a:alpha val="35000"/>
            </a:srgbClr>
          </a:outerShdw>
        </a:effectLst>
      </dsp:spPr>
      <dsp:style>
        <a:lnRef idx="0">
          <a:scrgbClr r="0" g="0" b="0"/>
        </a:lnRef>
        <a:fillRef idx="1">
          <a:scrgbClr r="0" g="0" b="0"/>
        </a:fillRef>
        <a:effectRef idx="2">
          <a:scrgbClr r="0" g="0" b="0"/>
        </a:effectRef>
        <a:fontRef idx="minor"/>
      </dsp:style>
    </dsp:sp>
    <dsp:sp modelId="{D33B0571-2F15-B746-9DB8-F9623734FD82}">
      <dsp:nvSpPr>
        <dsp:cNvPr id="0" name=""/>
        <dsp:cNvSpPr/>
      </dsp:nvSpPr>
      <dsp:spPr>
        <a:xfrm>
          <a:off x="2573211" y="3603"/>
          <a:ext cx="1646922" cy="823461"/>
        </a:xfrm>
        <a:prstGeom prst="roundRect">
          <a:avLst/>
        </a:prstGeom>
        <a:solidFill>
          <a:srgbClr val="7030A0">
            <a:alpha val="58000"/>
          </a:srgb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s-ES_tradnl" sz="1800" kern="1200"/>
            <a:t>Contexto de  la Organizaci</a:t>
          </a:r>
          <a:r>
            <a:rPr lang="es-ES" sz="1800" kern="1200"/>
            <a:t>ón</a:t>
          </a:r>
          <a:endParaRPr lang="es-ES_tradnl" sz="1800" kern="1200"/>
        </a:p>
      </dsp:txBody>
      <dsp:txXfrm>
        <a:off x="2613409" y="43801"/>
        <a:ext cx="1566526" cy="743065"/>
      </dsp:txXfrm>
    </dsp:sp>
    <dsp:sp modelId="{9D4CEE63-B131-5648-A77C-8D595B075034}">
      <dsp:nvSpPr>
        <dsp:cNvPr id="0" name=""/>
        <dsp:cNvSpPr/>
      </dsp:nvSpPr>
      <dsp:spPr>
        <a:xfrm>
          <a:off x="4338686" y="853810"/>
          <a:ext cx="1646922" cy="823461"/>
        </a:xfrm>
        <a:prstGeom prst="roundRect">
          <a:avLst/>
        </a:prstGeom>
        <a:solidFill>
          <a:srgbClr val="7030A0">
            <a:alpha val="58000"/>
          </a:srgb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s-ES_tradnl" sz="1800" kern="1200"/>
            <a:t>Liderazgo</a:t>
          </a:r>
        </a:p>
      </dsp:txBody>
      <dsp:txXfrm>
        <a:off x="4378884" y="894008"/>
        <a:ext cx="1566526" cy="743065"/>
      </dsp:txXfrm>
    </dsp:sp>
    <dsp:sp modelId="{0899164B-D664-7D48-84EC-C2B9377500E1}">
      <dsp:nvSpPr>
        <dsp:cNvPr id="0" name=""/>
        <dsp:cNvSpPr/>
      </dsp:nvSpPr>
      <dsp:spPr>
        <a:xfrm>
          <a:off x="4774722" y="2764210"/>
          <a:ext cx="1646922" cy="823461"/>
        </a:xfrm>
        <a:prstGeom prst="roundRect">
          <a:avLst/>
        </a:prstGeom>
        <a:solidFill>
          <a:srgbClr val="7030A0">
            <a:alpha val="58000"/>
          </a:srgb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s-ES_tradnl" sz="1800" kern="1200"/>
            <a:t>Planificaci</a:t>
          </a:r>
          <a:r>
            <a:rPr lang="es-ES" sz="1800" kern="1200"/>
            <a:t>ón</a:t>
          </a:r>
          <a:endParaRPr lang="es-ES_tradnl" sz="1800" kern="1200"/>
        </a:p>
      </dsp:txBody>
      <dsp:txXfrm>
        <a:off x="4814920" y="2804408"/>
        <a:ext cx="1566526" cy="743065"/>
      </dsp:txXfrm>
    </dsp:sp>
    <dsp:sp modelId="{C3967892-4AD6-9840-AA93-37BC913630A5}">
      <dsp:nvSpPr>
        <dsp:cNvPr id="0" name=""/>
        <dsp:cNvSpPr/>
      </dsp:nvSpPr>
      <dsp:spPr>
        <a:xfrm>
          <a:off x="3552976" y="4296231"/>
          <a:ext cx="1646922" cy="823461"/>
        </a:xfrm>
        <a:prstGeom prst="roundRect">
          <a:avLst/>
        </a:prstGeom>
        <a:solidFill>
          <a:srgbClr val="7030A0">
            <a:alpha val="58000"/>
          </a:srgb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s-ES_tradnl" sz="1800" kern="1200"/>
            <a:t>Apoyo</a:t>
          </a:r>
        </a:p>
      </dsp:txBody>
      <dsp:txXfrm>
        <a:off x="3593174" y="4336429"/>
        <a:ext cx="1566526" cy="743065"/>
      </dsp:txXfrm>
    </dsp:sp>
    <dsp:sp modelId="{F67B0ECA-E080-894D-A307-887C92082128}">
      <dsp:nvSpPr>
        <dsp:cNvPr id="0" name=""/>
        <dsp:cNvSpPr/>
      </dsp:nvSpPr>
      <dsp:spPr>
        <a:xfrm>
          <a:off x="1593447" y="4296231"/>
          <a:ext cx="1646922" cy="823461"/>
        </a:xfrm>
        <a:prstGeom prst="roundRect">
          <a:avLst/>
        </a:prstGeom>
        <a:solidFill>
          <a:srgbClr val="7030A0">
            <a:alpha val="58000"/>
          </a:srgb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s-ES" sz="1800" kern="1200"/>
            <a:t>Operación</a:t>
          </a:r>
          <a:endParaRPr lang="es-ES_tradnl" sz="1800" kern="1200"/>
        </a:p>
      </dsp:txBody>
      <dsp:txXfrm>
        <a:off x="1633645" y="4336429"/>
        <a:ext cx="1566526" cy="743065"/>
      </dsp:txXfrm>
    </dsp:sp>
    <dsp:sp modelId="{DCC3C460-D43D-064C-925F-8E0E7993C2FE}">
      <dsp:nvSpPr>
        <dsp:cNvPr id="0" name=""/>
        <dsp:cNvSpPr/>
      </dsp:nvSpPr>
      <dsp:spPr>
        <a:xfrm>
          <a:off x="371701" y="2764210"/>
          <a:ext cx="1646922" cy="823461"/>
        </a:xfrm>
        <a:prstGeom prst="roundRect">
          <a:avLst/>
        </a:prstGeom>
        <a:solidFill>
          <a:srgbClr val="7030A0">
            <a:alpha val="58000"/>
          </a:srgb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s-ES_tradnl" sz="1800" kern="1200"/>
            <a:t>Evaluaci</a:t>
          </a:r>
          <a:r>
            <a:rPr lang="es-ES" sz="1800" kern="1200"/>
            <a:t>ón del desempeño</a:t>
          </a:r>
          <a:endParaRPr lang="es-ES_tradnl" sz="1800" kern="1200"/>
        </a:p>
      </dsp:txBody>
      <dsp:txXfrm>
        <a:off x="411899" y="2804408"/>
        <a:ext cx="1566526" cy="743065"/>
      </dsp:txXfrm>
    </dsp:sp>
    <dsp:sp modelId="{03C5489E-5C63-6542-BEE6-4AE4E6364C5B}">
      <dsp:nvSpPr>
        <dsp:cNvPr id="0" name=""/>
        <dsp:cNvSpPr/>
      </dsp:nvSpPr>
      <dsp:spPr>
        <a:xfrm>
          <a:off x="807737" y="853810"/>
          <a:ext cx="1646922" cy="823461"/>
        </a:xfrm>
        <a:prstGeom prst="roundRect">
          <a:avLst/>
        </a:prstGeom>
        <a:solidFill>
          <a:srgbClr val="7030A0">
            <a:alpha val="58000"/>
          </a:srgb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s-ES_tradnl" sz="1800" kern="1200"/>
            <a:t>Mejora</a:t>
          </a:r>
        </a:p>
      </dsp:txBody>
      <dsp:txXfrm>
        <a:off x="847935" y="894008"/>
        <a:ext cx="1566526" cy="743065"/>
      </dsp:txXfrm>
    </dsp:sp>
  </dsp:spTree>
</dsp:drawing>
</file>

<file path=xl/diagrams/layout1.xml><?xml version="1.0" encoding="utf-8"?>
<dgm:layoutDef xmlns:dgm="http://schemas.openxmlformats.org/drawingml/2006/diagram" xmlns:a="http://schemas.openxmlformats.org/drawingml/2006/main" uniqueId="urn:microsoft.com/office/officeart/2005/8/layout/cycle3">
  <dgm:title val=""/>
  <dgm:desc val=""/>
  <dgm:catLst>
    <dgm:cat type="cycle" pri="5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 modelId="3"/>
      </dgm:ptLst>
      <dgm:cxnLst>
        <dgm:cxn modelId="4" srcId="0" destId="1" srcOrd="0" destOrd="0"/>
        <dgm:cxn modelId="5" srcId="0" destId="2" srcOrd="1" destOrd="0"/>
        <dgm:cxn modelId="6" srcId="0" destId="3" srcOrd="2"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Name0">
    <dgm:varLst>
      <dgm:dir/>
      <dgm:resizeHandles val="exact"/>
    </dgm:varLst>
    <dgm:choose name="Name1">
      <dgm:if name="Name2" axis="ch" ptType="node" func="cnt" op="equ" val="2">
        <dgm:alg type="composite">
          <dgm:param type="ar" val="0.9"/>
        </dgm:alg>
        <dgm:shape xmlns:r="http://schemas.openxmlformats.org/officeDocument/2006/relationships" r:blip="">
          <dgm:adjLst/>
        </dgm:shape>
        <dgm:presOf/>
        <dgm:constrLst>
          <dgm:constr type="primFontSz" for="ch" ptType="node" op="equ" val="65"/>
          <dgm:constr type="ctrX" for="ch" forName="node1" refType="w" fact="0.5"/>
          <dgm:constr type="t" for="ch" forName="node1"/>
          <dgm:constr type="w" for="ch" forName="node1" refType="w" fact="0.8"/>
          <dgm:constr type="h" for="ch" forName="node1" refType="w" refFor="ch" refForName="node1" fact="0.5"/>
          <dgm:constr type="ctrX" for="ch" forName="sibTrans" refType="w" fact="0.5"/>
          <dgm:constr type="t" for="ch" forName="sibTrans"/>
          <dgm:constr type="w" for="ch" forName="sibTrans" refType="w" fact="0.8"/>
          <dgm:constr type="h" for="ch" forName="sibTrans" refType="w" refFor="ch" refForName="node1" fact="0.5"/>
          <dgm:constr type="userA" for="ch" forName="sibTrans" refType="w" fact="1.07"/>
          <dgm:constr type="ctrX" for="ch" forName="node2" refType="w" fact="0.5"/>
          <dgm:constr type="b" for="ch" forName="node2" refType="h"/>
          <dgm:constr type="w" for="ch" forName="node2" refType="w" fact="0.8"/>
          <dgm:constr type="h" for="ch" forName="node2" refType="w" refFor="ch" refForName="node1" fact="0.5"/>
          <dgm:constr type="l" for="ch" forName="sp1"/>
          <dgm:constr type="t" for="ch" forName="sp1" refType="h" fact="0.5"/>
          <dgm:constr type="w" for="ch" forName="sp1" val="1"/>
          <dgm:constr type="h" for="ch" forName="sp1" val="1"/>
          <dgm:constr type="r" for="ch" forName="sp2" refType="w"/>
          <dgm:constr type="t" for="ch" forName="sp2" refType="h" fact="0.5"/>
          <dgm:constr type="w" for="ch" forName="sp2" val="1"/>
          <dgm:constr type="h" for="ch" forName="sp2" val="1"/>
        </dgm:constrLst>
        <dgm:ruleLst/>
      </dgm:if>
      <dgm:else name="Name3">
        <dgm:alg type="composite"/>
        <dgm:shape xmlns:r="http://schemas.openxmlformats.org/officeDocument/2006/relationships" r:blip="">
          <dgm:adjLst/>
        </dgm:shape>
        <dgm:presOf/>
        <dgm:constrLst>
          <dgm:constr type="primFontSz" for="ch" ptType="node" op="equ" val="65"/>
        </dgm:constrLst>
        <dgm:ruleLst/>
      </dgm:else>
    </dgm:choose>
    <dgm:choose name="Name4">
      <dgm:if name="Name5" axis="ch" ptType="node" func="cnt" op="equ" val="2">
        <dgm:layoutNode name="node1">
          <dgm:varLst>
            <dgm:bulletEnabled val="1"/>
          </dgm:varLst>
          <dgm:alg type="tx"/>
          <dgm:shape xmlns:r="http://schemas.openxmlformats.org/officeDocument/2006/relationships" type="roundRect" r:blip="">
            <dgm:adjLst/>
          </dgm:shape>
          <dgm:presOf axis="ch desOrSelf" ptType="node node" st="1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ibTrans" styleLbl="bgShp">
          <dgm:choose name="Name6">
            <dgm:if name="Name7" func="var" arg="dir" op="equ" val="norm">
              <dgm:alg type="conn">
                <dgm:param type="connRout" val="longCurve"/>
                <dgm:param type="begPts" val="midR"/>
                <dgm:param type="endPts" val="midL"/>
                <dgm:param type="dstNode" val="node1"/>
              </dgm:alg>
              <dgm:shape xmlns:r="http://schemas.openxmlformats.org/officeDocument/2006/relationships" type="conn" r:blip="" zOrderOff="-2">
                <dgm:adjLst/>
              </dgm:shape>
              <dgm:presOf axis="ch" ptType="sibTrans"/>
              <dgm:constrLst>
                <dgm:constr type="userA"/>
                <dgm:constr type="diam" refType="userA" fact="-1"/>
                <dgm:constr type="wArH" refType="userA" fact="0.05"/>
                <dgm:constr type="hArH" refType="userA" fact="0.1"/>
                <dgm:constr type="stemThick" refType="userA" fact="0.06"/>
                <dgm:constr type="begPad" refType="connDist" fact="-0.2"/>
                <dgm:constr type="endPad" refType="connDist" fact="0.05"/>
              </dgm:constrLst>
            </dgm:if>
            <dgm:else name="Name8">
              <dgm:alg type="conn">
                <dgm:param type="connRout" val="longCurve"/>
                <dgm:param type="begPts" val="midL"/>
                <dgm:param type="endPts" val="midR"/>
                <dgm:param type="dstNode" val="node1"/>
              </dgm:alg>
              <dgm:shape xmlns:r="http://schemas.openxmlformats.org/officeDocument/2006/relationships" type="conn" r:blip="" zOrderOff="-2">
                <dgm:adjLst/>
              </dgm:shape>
              <dgm:presOf axis="ch" ptType="sibTrans"/>
              <dgm:constrLst>
                <dgm:constr type="userA"/>
                <dgm:constr type="diam" refType="userA"/>
                <dgm:constr type="wArH" refType="userA" fact="0.05"/>
                <dgm:constr type="hArH" refType="userA" fact="0.1"/>
                <dgm:constr type="stemThick" refType="userA" fact="0.06"/>
                <dgm:constr type="begPad" refType="connDist" fact="-0.2"/>
                <dgm:constr type="endPad" refType="connDist" fact="0.05"/>
              </dgm:constrLst>
            </dgm:else>
          </dgm:choose>
          <dgm:ruleLst/>
        </dgm:layoutNode>
        <dgm:layoutNode name="node2">
          <dgm:varLst>
            <dgm:bulletEnabled val="1"/>
          </dgm:varLst>
          <dgm:alg type="tx"/>
          <dgm:shape xmlns:r="http://schemas.openxmlformats.org/officeDocument/2006/relationships" type="roundRect" r:blip="">
            <dgm:adjLst/>
          </dgm:shape>
          <dgm:presOf axis="ch desOrSelf" ptType="node node" st="2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p1">
          <dgm:alg type="sp"/>
          <dgm:shape xmlns:r="http://schemas.openxmlformats.org/officeDocument/2006/relationships" r:blip="">
            <dgm:adjLst/>
          </dgm:shape>
          <dgm:presOf/>
          <dgm:constrLst/>
          <dgm:ruleLst/>
        </dgm:layoutNode>
        <dgm:layoutNode name="sp2">
          <dgm:alg type="sp"/>
          <dgm:shape xmlns:r="http://schemas.openxmlformats.org/officeDocument/2006/relationships" r:blip="">
            <dgm:adjLst/>
          </dgm:shape>
          <dgm:presOf/>
          <dgm:constrLst/>
          <dgm:ruleLst/>
        </dgm:layoutNode>
      </dgm:if>
      <dgm:else name="Name9">
        <dgm:layoutNode name="cycle">
          <dgm:choose name="Name10">
            <dgm:if name="Name11" func="var" arg="dir" op="equ" val="norm">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fact="-1"/>
                <dgm:constr type="wArH" for="ch" ptType="sibTrans" refType="diam" op="equ" fact="0.05"/>
                <dgm:constr type="hArH" for="ch" ptType="sibTrans" refType="diam" op="equ" fact="0.1"/>
                <dgm:constr type="stemThick" for="ch" ptType="sibTrans" refType="diam" op="equ" fact="0.065"/>
                <dgm:constr type="primFontSz" for="ch" ptType="node" op="equ"/>
              </dgm:constrLst>
            </dgm:if>
            <dgm:else name="Name12">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dgm:constr type="wArH" for="ch" ptType="sibTrans" refType="diam" op="equ" fact="0.05"/>
                <dgm:constr type="hArH" for="ch" ptType="sibTrans" refType="diam" op="equ" fact="0.1"/>
                <dgm:constr type="stemThick" for="ch" ptType="sibTrans" refType="diam" op="equ" fact="0.065"/>
                <dgm:constr type="primFontSz" for="ch" ptType="node" op="equ"/>
              </dgm:constrLst>
            </dgm:else>
          </dgm:choose>
          <dgm:ruleLst/>
          <dgm:forEach name="nodesFirstNodeForEach" axis="ch" ptType="node" cnt="1">
            <dgm:layoutNode name="nodeFirstNode">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name="sibTransForEach" axis="followSib" ptType="sibTrans" cnt="1">
              <dgm:layoutNode name="sibTransFirstNode" styleLbl="bgShp">
                <dgm:choose name="Name13">
                  <dgm:if name="Name14" func="var" arg="dir" op="equ" val="norm">
                    <dgm:alg type="conn">
                      <dgm:param type="connRout" val="longCurve"/>
                      <dgm:param type="begPts" val="midR"/>
                      <dgm:param type="endPts" val="midL"/>
                      <dgm:param type="dstNode" val="nodeFirstNode"/>
                    </dgm:alg>
                  </dgm:if>
                  <dgm:else name="Name15">
                    <dgm:alg type="conn">
                      <dgm:param type="connRout" val="longCurve"/>
                      <dgm:param type="begPts" val="midL"/>
                      <dgm:param type="endPts" val="midR"/>
                      <dgm:param type="dstNode" val="nodeFirstNode"/>
                    </dgm:alg>
                  </dgm:else>
                </dgm:choose>
                <dgm:shape xmlns:r="http://schemas.openxmlformats.org/officeDocument/2006/relationships" type="conn" r:blip="" zOrderOff="-2">
                  <dgm:adjLst/>
                </dgm:shape>
                <dgm:presOf axis="self"/>
                <dgm:choose name="Name16">
                  <dgm:if name="Name17" axis="par ch" ptType="doc node" func="cnt" op="equ" val="3">
                    <dgm:constrLst>
                      <dgm:constr type="userA"/>
                      <dgm:constr type="diam" refType="userA" fact="1.01"/>
                      <dgm:constr type="begPad" refType="connDist" fact="-0.2"/>
                      <dgm:constr type="endPad" refType="connDist" fact="0.05"/>
                    </dgm:constrLst>
                  </dgm:if>
                  <dgm:if name="Name18" axis="par ch" ptType="doc node" func="cnt" op="equ" val="4">
                    <dgm:constrLst>
                      <dgm:constr type="userA"/>
                      <dgm:constr type="diam" refType="userA" fact="1.26"/>
                      <dgm:constr type="begPad" refType="connDist" fact="-0.2"/>
                      <dgm:constr type="endPad" refType="connDist" fact="0.05"/>
                    </dgm:constrLst>
                  </dgm:if>
                  <dgm:if name="Name19" axis="par ch" ptType="doc node" func="cnt" op="equ" val="5">
                    <dgm:constrLst>
                      <dgm:constr type="userA"/>
                      <dgm:constr type="diam" refType="userA" fact="1.04"/>
                      <dgm:constr type="begPad" refType="connDist" fact="-0.2"/>
                      <dgm:constr type="endPad" refType="connDist" fact="0.05"/>
                    </dgm:constrLst>
                  </dgm:if>
                  <dgm:if name="Name20" axis="par ch" ptType="doc node" func="cnt" op="equ" val="6">
                    <dgm:constrLst>
                      <dgm:constr type="userA"/>
                      <dgm:constr type="diam" refType="userA" fact="1.1"/>
                      <dgm:constr type="begPad" refType="connDist" fact="-0.2"/>
                      <dgm:constr type="endPad" refType="connDist" fact="0.05"/>
                    </dgm:constrLst>
                  </dgm:if>
                  <dgm:else name="Name21">
                    <dgm:constrLst>
                      <dgm:constr type="userA"/>
                      <dgm:constr type="diam" refType="userA" fact="1.04"/>
                      <dgm:constr type="begPad" refType="connDist" fact="-0.2"/>
                      <dgm:constr type="endPad" refType="connDist" fact="0.05"/>
                    </dgm:constrLst>
                  </dgm:else>
                </dgm:choose>
                <dgm:ruleLst/>
              </dgm:layoutNode>
            </dgm:forEach>
          </dgm:forEach>
          <dgm:forEach name="followingNodesForEach" axis="ch" ptType="node" st="2">
            <dgm:layoutNode name="nodeFollowingNodes">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dgm:layoutNode>
      </dgm:else>
    </dgm:choose>
  </dgm:layoutNode>
</dgm:layoutDef>
</file>

<file path=xl/diagrams/layout2.xml><?xml version="1.0" encoding="utf-8"?>
<dgm:layoutDef xmlns:dgm="http://schemas.openxmlformats.org/drawingml/2006/diagram" xmlns:a="http://schemas.openxmlformats.org/drawingml/2006/main" uniqueId="urn:microsoft.com/office/officeart/2005/8/layout/cycle3">
  <dgm:title val=""/>
  <dgm:desc val=""/>
  <dgm:catLst>
    <dgm:cat type="cycle" pri="5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 modelId="3"/>
      </dgm:ptLst>
      <dgm:cxnLst>
        <dgm:cxn modelId="4" srcId="0" destId="1" srcOrd="0" destOrd="0"/>
        <dgm:cxn modelId="5" srcId="0" destId="2" srcOrd="1" destOrd="0"/>
        <dgm:cxn modelId="6" srcId="0" destId="3" srcOrd="2"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Name0">
    <dgm:varLst>
      <dgm:dir/>
      <dgm:resizeHandles val="exact"/>
    </dgm:varLst>
    <dgm:choose name="Name1">
      <dgm:if name="Name2" axis="ch" ptType="node" func="cnt" op="equ" val="2">
        <dgm:alg type="composite">
          <dgm:param type="ar" val="0.9"/>
        </dgm:alg>
        <dgm:shape xmlns:r="http://schemas.openxmlformats.org/officeDocument/2006/relationships" r:blip="">
          <dgm:adjLst/>
        </dgm:shape>
        <dgm:presOf/>
        <dgm:constrLst>
          <dgm:constr type="primFontSz" for="ch" ptType="node" op="equ" val="65"/>
          <dgm:constr type="ctrX" for="ch" forName="node1" refType="w" fact="0.5"/>
          <dgm:constr type="t" for="ch" forName="node1"/>
          <dgm:constr type="w" for="ch" forName="node1" refType="w" fact="0.8"/>
          <dgm:constr type="h" for="ch" forName="node1" refType="w" refFor="ch" refForName="node1" fact="0.5"/>
          <dgm:constr type="ctrX" for="ch" forName="sibTrans" refType="w" fact="0.5"/>
          <dgm:constr type="t" for="ch" forName="sibTrans"/>
          <dgm:constr type="w" for="ch" forName="sibTrans" refType="w" fact="0.8"/>
          <dgm:constr type="h" for="ch" forName="sibTrans" refType="w" refFor="ch" refForName="node1" fact="0.5"/>
          <dgm:constr type="userA" for="ch" forName="sibTrans" refType="w" fact="1.07"/>
          <dgm:constr type="ctrX" for="ch" forName="node2" refType="w" fact="0.5"/>
          <dgm:constr type="b" for="ch" forName="node2" refType="h"/>
          <dgm:constr type="w" for="ch" forName="node2" refType="w" fact="0.8"/>
          <dgm:constr type="h" for="ch" forName="node2" refType="w" refFor="ch" refForName="node1" fact="0.5"/>
          <dgm:constr type="l" for="ch" forName="sp1"/>
          <dgm:constr type="t" for="ch" forName="sp1" refType="h" fact="0.5"/>
          <dgm:constr type="w" for="ch" forName="sp1" val="1"/>
          <dgm:constr type="h" for="ch" forName="sp1" val="1"/>
          <dgm:constr type="r" for="ch" forName="sp2" refType="w"/>
          <dgm:constr type="t" for="ch" forName="sp2" refType="h" fact="0.5"/>
          <dgm:constr type="w" for="ch" forName="sp2" val="1"/>
          <dgm:constr type="h" for="ch" forName="sp2" val="1"/>
        </dgm:constrLst>
        <dgm:ruleLst/>
      </dgm:if>
      <dgm:else name="Name3">
        <dgm:alg type="composite"/>
        <dgm:shape xmlns:r="http://schemas.openxmlformats.org/officeDocument/2006/relationships" r:blip="">
          <dgm:adjLst/>
        </dgm:shape>
        <dgm:presOf/>
        <dgm:constrLst>
          <dgm:constr type="primFontSz" for="ch" ptType="node" op="equ" val="65"/>
        </dgm:constrLst>
        <dgm:ruleLst/>
      </dgm:else>
    </dgm:choose>
    <dgm:choose name="Name4">
      <dgm:if name="Name5" axis="ch" ptType="node" func="cnt" op="equ" val="2">
        <dgm:layoutNode name="node1">
          <dgm:varLst>
            <dgm:bulletEnabled val="1"/>
          </dgm:varLst>
          <dgm:alg type="tx"/>
          <dgm:shape xmlns:r="http://schemas.openxmlformats.org/officeDocument/2006/relationships" type="roundRect" r:blip="">
            <dgm:adjLst/>
          </dgm:shape>
          <dgm:presOf axis="ch desOrSelf" ptType="node node" st="1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ibTrans" styleLbl="bgShp">
          <dgm:choose name="Name6">
            <dgm:if name="Name7" func="var" arg="dir" op="equ" val="norm">
              <dgm:alg type="conn">
                <dgm:param type="connRout" val="longCurve"/>
                <dgm:param type="begPts" val="midR"/>
                <dgm:param type="endPts" val="midL"/>
                <dgm:param type="dstNode" val="node1"/>
              </dgm:alg>
              <dgm:shape xmlns:r="http://schemas.openxmlformats.org/officeDocument/2006/relationships" type="conn" r:blip="" zOrderOff="-2">
                <dgm:adjLst/>
              </dgm:shape>
              <dgm:presOf axis="ch" ptType="sibTrans"/>
              <dgm:constrLst>
                <dgm:constr type="userA"/>
                <dgm:constr type="diam" refType="userA" fact="-1"/>
                <dgm:constr type="wArH" refType="userA" fact="0.05"/>
                <dgm:constr type="hArH" refType="userA" fact="0.1"/>
                <dgm:constr type="stemThick" refType="userA" fact="0.06"/>
                <dgm:constr type="begPad" refType="connDist" fact="-0.2"/>
                <dgm:constr type="endPad" refType="connDist" fact="0.05"/>
              </dgm:constrLst>
            </dgm:if>
            <dgm:else name="Name8">
              <dgm:alg type="conn">
                <dgm:param type="connRout" val="longCurve"/>
                <dgm:param type="begPts" val="midL"/>
                <dgm:param type="endPts" val="midR"/>
                <dgm:param type="dstNode" val="node1"/>
              </dgm:alg>
              <dgm:shape xmlns:r="http://schemas.openxmlformats.org/officeDocument/2006/relationships" type="conn" r:blip="" zOrderOff="-2">
                <dgm:adjLst/>
              </dgm:shape>
              <dgm:presOf axis="ch" ptType="sibTrans"/>
              <dgm:constrLst>
                <dgm:constr type="userA"/>
                <dgm:constr type="diam" refType="userA"/>
                <dgm:constr type="wArH" refType="userA" fact="0.05"/>
                <dgm:constr type="hArH" refType="userA" fact="0.1"/>
                <dgm:constr type="stemThick" refType="userA" fact="0.06"/>
                <dgm:constr type="begPad" refType="connDist" fact="-0.2"/>
                <dgm:constr type="endPad" refType="connDist" fact="0.05"/>
              </dgm:constrLst>
            </dgm:else>
          </dgm:choose>
          <dgm:ruleLst/>
        </dgm:layoutNode>
        <dgm:layoutNode name="node2">
          <dgm:varLst>
            <dgm:bulletEnabled val="1"/>
          </dgm:varLst>
          <dgm:alg type="tx"/>
          <dgm:shape xmlns:r="http://schemas.openxmlformats.org/officeDocument/2006/relationships" type="roundRect" r:blip="">
            <dgm:adjLst/>
          </dgm:shape>
          <dgm:presOf axis="ch desOrSelf" ptType="node node" st="2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p1">
          <dgm:alg type="sp"/>
          <dgm:shape xmlns:r="http://schemas.openxmlformats.org/officeDocument/2006/relationships" r:blip="">
            <dgm:adjLst/>
          </dgm:shape>
          <dgm:presOf/>
          <dgm:constrLst/>
          <dgm:ruleLst/>
        </dgm:layoutNode>
        <dgm:layoutNode name="sp2">
          <dgm:alg type="sp"/>
          <dgm:shape xmlns:r="http://schemas.openxmlformats.org/officeDocument/2006/relationships" r:blip="">
            <dgm:adjLst/>
          </dgm:shape>
          <dgm:presOf/>
          <dgm:constrLst/>
          <dgm:ruleLst/>
        </dgm:layoutNode>
      </dgm:if>
      <dgm:else name="Name9">
        <dgm:layoutNode name="cycle">
          <dgm:choose name="Name10">
            <dgm:if name="Name11" func="var" arg="dir" op="equ" val="norm">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fact="-1"/>
                <dgm:constr type="wArH" for="ch" ptType="sibTrans" refType="diam" op="equ" fact="0.05"/>
                <dgm:constr type="hArH" for="ch" ptType="sibTrans" refType="diam" op="equ" fact="0.1"/>
                <dgm:constr type="stemThick" for="ch" ptType="sibTrans" refType="diam" op="equ" fact="0.065"/>
                <dgm:constr type="primFontSz" for="ch" ptType="node" op="equ"/>
              </dgm:constrLst>
            </dgm:if>
            <dgm:else name="Name12">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dgm:constr type="wArH" for="ch" ptType="sibTrans" refType="diam" op="equ" fact="0.05"/>
                <dgm:constr type="hArH" for="ch" ptType="sibTrans" refType="diam" op="equ" fact="0.1"/>
                <dgm:constr type="stemThick" for="ch" ptType="sibTrans" refType="diam" op="equ" fact="0.065"/>
                <dgm:constr type="primFontSz" for="ch" ptType="node" op="equ"/>
              </dgm:constrLst>
            </dgm:else>
          </dgm:choose>
          <dgm:ruleLst/>
          <dgm:forEach name="nodesFirstNodeForEach" axis="ch" ptType="node" cnt="1">
            <dgm:layoutNode name="nodeFirstNode">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name="sibTransForEach" axis="followSib" ptType="sibTrans" cnt="1">
              <dgm:layoutNode name="sibTransFirstNode" styleLbl="bgShp">
                <dgm:choose name="Name13">
                  <dgm:if name="Name14" func="var" arg="dir" op="equ" val="norm">
                    <dgm:alg type="conn">
                      <dgm:param type="connRout" val="longCurve"/>
                      <dgm:param type="begPts" val="midR"/>
                      <dgm:param type="endPts" val="midL"/>
                      <dgm:param type="dstNode" val="nodeFirstNode"/>
                    </dgm:alg>
                  </dgm:if>
                  <dgm:else name="Name15">
                    <dgm:alg type="conn">
                      <dgm:param type="connRout" val="longCurve"/>
                      <dgm:param type="begPts" val="midL"/>
                      <dgm:param type="endPts" val="midR"/>
                      <dgm:param type="dstNode" val="nodeFirstNode"/>
                    </dgm:alg>
                  </dgm:else>
                </dgm:choose>
                <dgm:shape xmlns:r="http://schemas.openxmlformats.org/officeDocument/2006/relationships" type="conn" r:blip="" zOrderOff="-2">
                  <dgm:adjLst/>
                </dgm:shape>
                <dgm:presOf axis="self"/>
                <dgm:choose name="Name16">
                  <dgm:if name="Name17" axis="par ch" ptType="doc node" func="cnt" op="equ" val="3">
                    <dgm:constrLst>
                      <dgm:constr type="userA"/>
                      <dgm:constr type="diam" refType="userA" fact="1.01"/>
                      <dgm:constr type="begPad" refType="connDist" fact="-0.2"/>
                      <dgm:constr type="endPad" refType="connDist" fact="0.05"/>
                    </dgm:constrLst>
                  </dgm:if>
                  <dgm:if name="Name18" axis="par ch" ptType="doc node" func="cnt" op="equ" val="4">
                    <dgm:constrLst>
                      <dgm:constr type="userA"/>
                      <dgm:constr type="diam" refType="userA" fact="1.26"/>
                      <dgm:constr type="begPad" refType="connDist" fact="-0.2"/>
                      <dgm:constr type="endPad" refType="connDist" fact="0.05"/>
                    </dgm:constrLst>
                  </dgm:if>
                  <dgm:if name="Name19" axis="par ch" ptType="doc node" func="cnt" op="equ" val="5">
                    <dgm:constrLst>
                      <dgm:constr type="userA"/>
                      <dgm:constr type="diam" refType="userA" fact="1.04"/>
                      <dgm:constr type="begPad" refType="connDist" fact="-0.2"/>
                      <dgm:constr type="endPad" refType="connDist" fact="0.05"/>
                    </dgm:constrLst>
                  </dgm:if>
                  <dgm:if name="Name20" axis="par ch" ptType="doc node" func="cnt" op="equ" val="6">
                    <dgm:constrLst>
                      <dgm:constr type="userA"/>
                      <dgm:constr type="diam" refType="userA" fact="1.1"/>
                      <dgm:constr type="begPad" refType="connDist" fact="-0.2"/>
                      <dgm:constr type="endPad" refType="connDist" fact="0.05"/>
                    </dgm:constrLst>
                  </dgm:if>
                  <dgm:else name="Name21">
                    <dgm:constrLst>
                      <dgm:constr type="userA"/>
                      <dgm:constr type="diam" refType="userA" fact="1.04"/>
                      <dgm:constr type="begPad" refType="connDist" fact="-0.2"/>
                      <dgm:constr type="endPad" refType="connDist" fact="0.05"/>
                    </dgm:constrLst>
                  </dgm:else>
                </dgm:choose>
                <dgm:ruleLst/>
              </dgm:layoutNode>
            </dgm:forEach>
          </dgm:forEach>
          <dgm:forEach name="followingNodesForEach" axis="ch" ptType="node" st="2">
            <dgm:layoutNode name="nodeFollowingNodes">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dgm:layoutNode>
      </dgm:else>
    </dgm:choose>
  </dgm:layoutNode>
</dgm:layoutDef>
</file>

<file path=xl/diagrams/layout3.xml><?xml version="1.0" encoding="utf-8"?>
<dgm:layoutDef xmlns:dgm="http://schemas.openxmlformats.org/drawingml/2006/diagram" xmlns:a="http://schemas.openxmlformats.org/drawingml/2006/main" uniqueId="urn:microsoft.com/office/officeart/2005/8/layout/cycle3">
  <dgm:title val=""/>
  <dgm:desc val=""/>
  <dgm:catLst>
    <dgm:cat type="cycle" pri="5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 modelId="3"/>
      </dgm:ptLst>
      <dgm:cxnLst>
        <dgm:cxn modelId="4" srcId="0" destId="1" srcOrd="0" destOrd="0"/>
        <dgm:cxn modelId="5" srcId="0" destId="2" srcOrd="1" destOrd="0"/>
        <dgm:cxn modelId="6" srcId="0" destId="3" srcOrd="2"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Name0">
    <dgm:varLst>
      <dgm:dir/>
      <dgm:resizeHandles val="exact"/>
    </dgm:varLst>
    <dgm:choose name="Name1">
      <dgm:if name="Name2" axis="ch" ptType="node" func="cnt" op="equ" val="2">
        <dgm:alg type="composite">
          <dgm:param type="ar" val="0.9"/>
        </dgm:alg>
        <dgm:shape xmlns:r="http://schemas.openxmlformats.org/officeDocument/2006/relationships" r:blip="">
          <dgm:adjLst/>
        </dgm:shape>
        <dgm:presOf/>
        <dgm:constrLst>
          <dgm:constr type="primFontSz" for="ch" ptType="node" op="equ" val="65"/>
          <dgm:constr type="ctrX" for="ch" forName="node1" refType="w" fact="0.5"/>
          <dgm:constr type="t" for="ch" forName="node1"/>
          <dgm:constr type="w" for="ch" forName="node1" refType="w" fact="0.8"/>
          <dgm:constr type="h" for="ch" forName="node1" refType="w" refFor="ch" refForName="node1" fact="0.5"/>
          <dgm:constr type="ctrX" for="ch" forName="sibTrans" refType="w" fact="0.5"/>
          <dgm:constr type="t" for="ch" forName="sibTrans"/>
          <dgm:constr type="w" for="ch" forName="sibTrans" refType="w" fact="0.8"/>
          <dgm:constr type="h" for="ch" forName="sibTrans" refType="w" refFor="ch" refForName="node1" fact="0.5"/>
          <dgm:constr type="userA" for="ch" forName="sibTrans" refType="w" fact="1.07"/>
          <dgm:constr type="ctrX" for="ch" forName="node2" refType="w" fact="0.5"/>
          <dgm:constr type="b" for="ch" forName="node2" refType="h"/>
          <dgm:constr type="w" for="ch" forName="node2" refType="w" fact="0.8"/>
          <dgm:constr type="h" for="ch" forName="node2" refType="w" refFor="ch" refForName="node1" fact="0.5"/>
          <dgm:constr type="l" for="ch" forName="sp1"/>
          <dgm:constr type="t" for="ch" forName="sp1" refType="h" fact="0.5"/>
          <dgm:constr type="w" for="ch" forName="sp1" val="1"/>
          <dgm:constr type="h" for="ch" forName="sp1" val="1"/>
          <dgm:constr type="r" for="ch" forName="sp2" refType="w"/>
          <dgm:constr type="t" for="ch" forName="sp2" refType="h" fact="0.5"/>
          <dgm:constr type="w" for="ch" forName="sp2" val="1"/>
          <dgm:constr type="h" for="ch" forName="sp2" val="1"/>
        </dgm:constrLst>
        <dgm:ruleLst/>
      </dgm:if>
      <dgm:else name="Name3">
        <dgm:alg type="composite"/>
        <dgm:shape xmlns:r="http://schemas.openxmlformats.org/officeDocument/2006/relationships" r:blip="">
          <dgm:adjLst/>
        </dgm:shape>
        <dgm:presOf/>
        <dgm:constrLst>
          <dgm:constr type="primFontSz" for="ch" ptType="node" op="equ" val="65"/>
        </dgm:constrLst>
        <dgm:ruleLst/>
      </dgm:else>
    </dgm:choose>
    <dgm:choose name="Name4">
      <dgm:if name="Name5" axis="ch" ptType="node" func="cnt" op="equ" val="2">
        <dgm:layoutNode name="node1">
          <dgm:varLst>
            <dgm:bulletEnabled val="1"/>
          </dgm:varLst>
          <dgm:alg type="tx"/>
          <dgm:shape xmlns:r="http://schemas.openxmlformats.org/officeDocument/2006/relationships" type="roundRect" r:blip="">
            <dgm:adjLst/>
          </dgm:shape>
          <dgm:presOf axis="ch desOrSelf" ptType="node node" st="1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ibTrans" styleLbl="bgShp">
          <dgm:choose name="Name6">
            <dgm:if name="Name7" func="var" arg="dir" op="equ" val="norm">
              <dgm:alg type="conn">
                <dgm:param type="connRout" val="longCurve"/>
                <dgm:param type="begPts" val="midR"/>
                <dgm:param type="endPts" val="midL"/>
                <dgm:param type="dstNode" val="node1"/>
              </dgm:alg>
              <dgm:shape xmlns:r="http://schemas.openxmlformats.org/officeDocument/2006/relationships" type="conn" r:blip="" zOrderOff="-2">
                <dgm:adjLst/>
              </dgm:shape>
              <dgm:presOf axis="ch" ptType="sibTrans"/>
              <dgm:constrLst>
                <dgm:constr type="userA"/>
                <dgm:constr type="diam" refType="userA" fact="-1"/>
                <dgm:constr type="wArH" refType="userA" fact="0.05"/>
                <dgm:constr type="hArH" refType="userA" fact="0.1"/>
                <dgm:constr type="stemThick" refType="userA" fact="0.06"/>
                <dgm:constr type="begPad" refType="connDist" fact="-0.2"/>
                <dgm:constr type="endPad" refType="connDist" fact="0.05"/>
              </dgm:constrLst>
            </dgm:if>
            <dgm:else name="Name8">
              <dgm:alg type="conn">
                <dgm:param type="connRout" val="longCurve"/>
                <dgm:param type="begPts" val="midL"/>
                <dgm:param type="endPts" val="midR"/>
                <dgm:param type="dstNode" val="node1"/>
              </dgm:alg>
              <dgm:shape xmlns:r="http://schemas.openxmlformats.org/officeDocument/2006/relationships" type="conn" r:blip="" zOrderOff="-2">
                <dgm:adjLst/>
              </dgm:shape>
              <dgm:presOf axis="ch" ptType="sibTrans"/>
              <dgm:constrLst>
                <dgm:constr type="userA"/>
                <dgm:constr type="diam" refType="userA"/>
                <dgm:constr type="wArH" refType="userA" fact="0.05"/>
                <dgm:constr type="hArH" refType="userA" fact="0.1"/>
                <dgm:constr type="stemThick" refType="userA" fact="0.06"/>
                <dgm:constr type="begPad" refType="connDist" fact="-0.2"/>
                <dgm:constr type="endPad" refType="connDist" fact="0.05"/>
              </dgm:constrLst>
            </dgm:else>
          </dgm:choose>
          <dgm:ruleLst/>
        </dgm:layoutNode>
        <dgm:layoutNode name="node2">
          <dgm:varLst>
            <dgm:bulletEnabled val="1"/>
          </dgm:varLst>
          <dgm:alg type="tx"/>
          <dgm:shape xmlns:r="http://schemas.openxmlformats.org/officeDocument/2006/relationships" type="roundRect" r:blip="">
            <dgm:adjLst/>
          </dgm:shape>
          <dgm:presOf axis="ch desOrSelf" ptType="node node" st="2 1" cnt="1 0"/>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name="sp1">
          <dgm:alg type="sp"/>
          <dgm:shape xmlns:r="http://schemas.openxmlformats.org/officeDocument/2006/relationships" r:blip="">
            <dgm:adjLst/>
          </dgm:shape>
          <dgm:presOf/>
          <dgm:constrLst/>
          <dgm:ruleLst/>
        </dgm:layoutNode>
        <dgm:layoutNode name="sp2">
          <dgm:alg type="sp"/>
          <dgm:shape xmlns:r="http://schemas.openxmlformats.org/officeDocument/2006/relationships" r:blip="">
            <dgm:adjLst/>
          </dgm:shape>
          <dgm:presOf/>
          <dgm:constrLst/>
          <dgm:ruleLst/>
        </dgm:layoutNode>
      </dgm:if>
      <dgm:else name="Name9">
        <dgm:layoutNode name="cycle">
          <dgm:choose name="Name10">
            <dgm:if name="Name11" func="var" arg="dir" op="equ" val="norm">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fact="-1"/>
                <dgm:constr type="wArH" for="ch" ptType="sibTrans" refType="diam" op="equ" fact="0.05"/>
                <dgm:constr type="hArH" for="ch" ptType="sibTrans" refType="diam" op="equ" fact="0.1"/>
                <dgm:constr type="stemThick" for="ch" ptType="sibTrans" refType="diam" op="equ" fact="0.065"/>
                <dgm:constr type="primFontSz" for="ch" ptType="node" op="equ"/>
              </dgm:constrLst>
            </dgm:if>
            <dgm:else name="Name12">
              <dgm:alg type="cycle">
                <dgm:param type="stAng" val="0"/>
                <dgm:param type="spanAng" val="-360"/>
              </dgm:alg>
              <dgm:shape xmlns:r="http://schemas.openxmlformats.org/officeDocument/2006/relationships" r:blip="">
                <dgm:adjLst/>
              </dgm:shape>
              <dgm:presOf/>
              <dgm:constrLst>
                <dgm:constr type="diam" refType="w"/>
                <dgm:constr type="w" for="ch" ptType="node" refType="w"/>
                <dgm:constr type="sibSp" val="15"/>
                <dgm:constr type="userA" for="ch" ptType="sibTrans" refType="diam" op="equ"/>
                <dgm:constr type="wArH" for="ch" ptType="sibTrans" refType="diam" op="equ" fact="0.05"/>
                <dgm:constr type="hArH" for="ch" ptType="sibTrans" refType="diam" op="equ" fact="0.1"/>
                <dgm:constr type="stemThick" for="ch" ptType="sibTrans" refType="diam" op="equ" fact="0.065"/>
                <dgm:constr type="primFontSz" for="ch" ptType="node" op="equ"/>
              </dgm:constrLst>
            </dgm:else>
          </dgm:choose>
          <dgm:ruleLst/>
          <dgm:forEach name="nodesFirstNodeForEach" axis="ch" ptType="node" cnt="1">
            <dgm:layoutNode name="nodeFirstNode">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name="sibTransForEach" axis="followSib" ptType="sibTrans" cnt="1">
              <dgm:layoutNode name="sibTransFirstNode" styleLbl="bgShp">
                <dgm:choose name="Name13">
                  <dgm:if name="Name14" func="var" arg="dir" op="equ" val="norm">
                    <dgm:alg type="conn">
                      <dgm:param type="connRout" val="longCurve"/>
                      <dgm:param type="begPts" val="midR"/>
                      <dgm:param type="endPts" val="midL"/>
                      <dgm:param type="dstNode" val="nodeFirstNode"/>
                    </dgm:alg>
                  </dgm:if>
                  <dgm:else name="Name15">
                    <dgm:alg type="conn">
                      <dgm:param type="connRout" val="longCurve"/>
                      <dgm:param type="begPts" val="midL"/>
                      <dgm:param type="endPts" val="midR"/>
                      <dgm:param type="dstNode" val="nodeFirstNode"/>
                    </dgm:alg>
                  </dgm:else>
                </dgm:choose>
                <dgm:shape xmlns:r="http://schemas.openxmlformats.org/officeDocument/2006/relationships" type="conn" r:blip="" zOrderOff="-2">
                  <dgm:adjLst/>
                </dgm:shape>
                <dgm:presOf axis="self"/>
                <dgm:choose name="Name16">
                  <dgm:if name="Name17" axis="par ch" ptType="doc node" func="cnt" op="equ" val="3">
                    <dgm:constrLst>
                      <dgm:constr type="userA"/>
                      <dgm:constr type="diam" refType="userA" fact="1.01"/>
                      <dgm:constr type="begPad" refType="connDist" fact="-0.2"/>
                      <dgm:constr type="endPad" refType="connDist" fact="0.05"/>
                    </dgm:constrLst>
                  </dgm:if>
                  <dgm:if name="Name18" axis="par ch" ptType="doc node" func="cnt" op="equ" val="4">
                    <dgm:constrLst>
                      <dgm:constr type="userA"/>
                      <dgm:constr type="diam" refType="userA" fact="1.26"/>
                      <dgm:constr type="begPad" refType="connDist" fact="-0.2"/>
                      <dgm:constr type="endPad" refType="connDist" fact="0.05"/>
                    </dgm:constrLst>
                  </dgm:if>
                  <dgm:if name="Name19" axis="par ch" ptType="doc node" func="cnt" op="equ" val="5">
                    <dgm:constrLst>
                      <dgm:constr type="userA"/>
                      <dgm:constr type="diam" refType="userA" fact="1.04"/>
                      <dgm:constr type="begPad" refType="connDist" fact="-0.2"/>
                      <dgm:constr type="endPad" refType="connDist" fact="0.05"/>
                    </dgm:constrLst>
                  </dgm:if>
                  <dgm:if name="Name20" axis="par ch" ptType="doc node" func="cnt" op="equ" val="6">
                    <dgm:constrLst>
                      <dgm:constr type="userA"/>
                      <dgm:constr type="diam" refType="userA" fact="1.1"/>
                      <dgm:constr type="begPad" refType="connDist" fact="-0.2"/>
                      <dgm:constr type="endPad" refType="connDist" fact="0.05"/>
                    </dgm:constrLst>
                  </dgm:if>
                  <dgm:else name="Name21">
                    <dgm:constrLst>
                      <dgm:constr type="userA"/>
                      <dgm:constr type="diam" refType="userA" fact="1.04"/>
                      <dgm:constr type="begPad" refType="connDist" fact="-0.2"/>
                      <dgm:constr type="endPad" refType="connDist" fact="0.05"/>
                    </dgm:constrLst>
                  </dgm:else>
                </dgm:choose>
                <dgm:ruleLst/>
              </dgm:layoutNode>
            </dgm:forEach>
          </dgm:forEach>
          <dgm:forEach name="followingNodesForEach" axis="ch" ptType="node" st="2">
            <dgm:layoutNode name="nodeFollowingNodes">
              <dgm:varLst>
                <dgm:bulletEnabled val="1"/>
              </dgm:varLst>
              <dgm:alg type="tx"/>
              <dgm:shape xmlns:r="http://schemas.openxmlformats.org/officeDocument/2006/relationships" type="roundRect" r:blip="">
                <dgm:adjLst/>
              </dgm:shape>
              <dgm:presOf axis="desOrSelf" ptType="node"/>
              <dgm:constrLst>
                <dgm:constr type="h" refType="w" fact="0.5"/>
                <dgm:constr type="primFontSz" val="65"/>
                <dgm:constr type="tMarg" refType="primFontSz" fact="0.3"/>
                <dgm:constr type="bMarg" refType="primFontSz" fact="0.3"/>
                <dgm:constr type="lMarg" refType="primFontSz" fact="0.3"/>
                <dgm:constr type="rMarg" refType="primFontSz" fact="0.3"/>
              </dgm:constrLst>
              <dgm:ruleLst>
                <dgm:rule type="primFontSz" val="5" fact="NaN" max="NaN"/>
              </dgm:ruleLst>
            </dgm:layoutNode>
          </dgm:forEach>
        </dgm:layoutNode>
      </dgm:else>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4#1">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4#2">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4#3">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2.xml"/><Relationship Id="rId2" Type="http://schemas.openxmlformats.org/officeDocument/2006/relationships/diagramLayout" Target="../diagrams/layout2.xml"/><Relationship Id="rId1" Type="http://schemas.openxmlformats.org/officeDocument/2006/relationships/diagramData" Target="../diagrams/data2.xml"/><Relationship Id="rId5" Type="http://schemas.microsoft.com/office/2007/relationships/diagramDrawing" Target="../diagrams/drawing2.xml"/><Relationship Id="rId4" Type="http://schemas.openxmlformats.org/officeDocument/2006/relationships/diagramColors" Target="../diagrams/colors2.xml"/></Relationships>
</file>

<file path=xl/drawings/_rels/drawing4.xml.rels><?xml version="1.0" encoding="UTF-8" standalone="yes"?>
<Relationships xmlns="http://schemas.openxmlformats.org/package/2006/relationships"><Relationship Id="rId3" Type="http://schemas.openxmlformats.org/officeDocument/2006/relationships/diagramQuickStyle" Target="../diagrams/quickStyle3.xml"/><Relationship Id="rId2" Type="http://schemas.openxmlformats.org/officeDocument/2006/relationships/diagramLayout" Target="../diagrams/layout3.xml"/><Relationship Id="rId1" Type="http://schemas.openxmlformats.org/officeDocument/2006/relationships/diagramData" Target="../diagrams/data3.xml"/><Relationship Id="rId5" Type="http://schemas.microsoft.com/office/2007/relationships/diagramDrawing" Target="../diagrams/drawing3.xml"/><Relationship Id="rId4" Type="http://schemas.openxmlformats.org/officeDocument/2006/relationships/diagramColors" Target="../diagrams/colors3.xml"/></Relationships>
</file>

<file path=xl/drawings/drawing1.xml><?xml version="1.0" encoding="utf-8"?>
<xdr:wsDr xmlns:xdr="http://schemas.openxmlformats.org/drawingml/2006/spreadsheetDrawing" xmlns:a="http://schemas.openxmlformats.org/drawingml/2006/main">
  <xdr:twoCellAnchor editAs="oneCell">
    <xdr:from>
      <xdr:col>0</xdr:col>
      <xdr:colOff>400050</xdr:colOff>
      <xdr:row>15</xdr:row>
      <xdr:rowOff>211352</xdr:rowOff>
    </xdr:from>
    <xdr:to>
      <xdr:col>1</xdr:col>
      <xdr:colOff>1514475</xdr:colOff>
      <xdr:row>19</xdr:row>
      <xdr:rowOff>0</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 y="5450102"/>
          <a:ext cx="1581150" cy="1160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1633536</xdr:colOff>
      <xdr:row>9</xdr:row>
      <xdr:rowOff>109537</xdr:rowOff>
    </xdr:from>
    <xdr:to>
      <xdr:col>5</xdr:col>
      <xdr:colOff>209550</xdr:colOff>
      <xdr:row>18</xdr:row>
      <xdr:rowOff>190501</xdr:rowOff>
    </xdr:to>
    <xdr:graphicFrame macro="">
      <xdr:nvGraphicFramePr>
        <xdr:cNvPr id="9" name="Gráfico 8">
          <a:extLst>
            <a:ext uri="{FF2B5EF4-FFF2-40B4-BE49-F238E27FC236}">
              <a16:creationId xmlns:a16="http://schemas.microsoft.com/office/drawing/2014/main" id="{885D954C-0321-4FA0-B8CB-43BBF201B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1638300</xdr:colOff>
      <xdr:row>18</xdr:row>
      <xdr:rowOff>285750</xdr:rowOff>
    </xdr:from>
    <xdr:to>
      <xdr:col>5</xdr:col>
      <xdr:colOff>214314</xdr:colOff>
      <xdr:row>28</xdr:row>
      <xdr:rowOff>23814</xdr:rowOff>
    </xdr:to>
    <xdr:graphicFrame macro="">
      <xdr:nvGraphicFramePr>
        <xdr:cNvPr id="10" name="Gráfico 9">
          <a:extLst>
            <a:ext uri="{FF2B5EF4-FFF2-40B4-BE49-F238E27FC236}">
              <a16:creationId xmlns:a16="http://schemas.microsoft.com/office/drawing/2014/main" id="{4BD96282-2C59-4676-987E-6F8DFD82A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285750</xdr:colOff>
      <xdr:row>13</xdr:row>
      <xdr:rowOff>209550</xdr:rowOff>
    </xdr:from>
    <xdr:to>
      <xdr:col>12</xdr:col>
      <xdr:colOff>109539</xdr:colOff>
      <xdr:row>22</xdr:row>
      <xdr:rowOff>290514</xdr:rowOff>
    </xdr:to>
    <xdr:graphicFrame macro="">
      <xdr:nvGraphicFramePr>
        <xdr:cNvPr id="11" name="Gráfico 10">
          <a:extLst>
            <a:ext uri="{FF2B5EF4-FFF2-40B4-BE49-F238E27FC236}">
              <a16:creationId xmlns:a16="http://schemas.microsoft.com/office/drawing/2014/main" id="{DC8B50FF-5C49-494B-A28E-5E7CB62EA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508000</xdr:colOff>
      <xdr:row>4</xdr:row>
      <xdr:rowOff>361950</xdr:rowOff>
    </xdr:from>
    <xdr:to>
      <xdr:col>13</xdr:col>
      <xdr:colOff>800100</xdr:colOff>
      <xdr:row>18</xdr:row>
      <xdr:rowOff>152400</xdr:rowOff>
    </xdr:to>
    <xdr:graphicFrame macro="">
      <xdr:nvGraphicFramePr>
        <xdr:cNvPr id="5" name="Diagrama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461818</xdr:colOff>
      <xdr:row>6</xdr:row>
      <xdr:rowOff>69274</xdr:rowOff>
    </xdr:from>
    <xdr:to>
      <xdr:col>14</xdr:col>
      <xdr:colOff>656936</xdr:colOff>
      <xdr:row>16</xdr:row>
      <xdr:rowOff>311151</xdr:rowOff>
    </xdr:to>
    <xdr:graphicFrame macro="">
      <xdr:nvGraphicFramePr>
        <xdr:cNvPr id="13" name="Diagrama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738908</xdr:colOff>
      <xdr:row>8</xdr:row>
      <xdr:rowOff>265546</xdr:rowOff>
    </xdr:from>
    <xdr:to>
      <xdr:col>16</xdr:col>
      <xdr:colOff>102754</xdr:colOff>
      <xdr:row>14</xdr:row>
      <xdr:rowOff>334242</xdr:rowOff>
    </xdr:to>
    <xdr:graphicFrame macro="">
      <xdr:nvGraphicFramePr>
        <xdr:cNvPr id="13" name="Diagrama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ED43BE-7955-4767-A1C4-91CC43B4983F}" name="Tabla1" displayName="Tabla1" ref="B5:J9" totalsRowShown="0" headerRowDxfId="689" dataDxfId="688" headerRowCellStyle="Total" dataCellStyle="Porcentaje">
  <autoFilter ref="B5:J9" xr:uid="{D80E4DD7-2355-4B3F-A3D6-C32C82807651}"/>
  <tableColumns count="9">
    <tableColumn id="1" xr3:uid="{FCF46C90-263B-43E0-97CD-AAD94584D5EF}" name="DIAGNÓSTICO DEL NIVEL DE IMPLEMENTACIÓN DEL SISTEMA INTEGRADO DE GESTIÓN"/>
    <tableColumn id="2" xr3:uid="{713F7678-807D-418C-BE9B-E92BBAF4FB3E}" name="Contexto de la Organización" dataDxfId="687" dataCellStyle="Porcentaje"/>
    <tableColumn id="3" xr3:uid="{629F1CB7-B232-4630-8BF4-8D802009873B}" name="Liderazgo" dataDxfId="686" dataCellStyle="Porcentaje"/>
    <tableColumn id="4" xr3:uid="{D36BF2D3-E7DC-4A13-8554-34E18CE47995}" name="Planificación" dataDxfId="685" dataCellStyle="Porcentaje"/>
    <tableColumn id="5" xr3:uid="{A6D62832-B919-49A4-998C-942E10DD891A}" name="Apoyo" dataDxfId="684" dataCellStyle="Porcentaje"/>
    <tableColumn id="6" xr3:uid="{504A8017-BEC3-4CCC-AB7A-8A95E230F1CF}" name="Operación" dataDxfId="683" dataCellStyle="Porcentaje"/>
    <tableColumn id="7" xr3:uid="{F850E70A-FBA0-4A66-A505-57710BFDDB13}" name="Evaluación del Desempeño" dataDxfId="682" dataCellStyle="Porcentaje"/>
    <tableColumn id="8" xr3:uid="{A2ECFDB5-6C6B-4A74-9713-6D4D5956C682}" name="Mejora" dataDxfId="681" dataCellStyle="Porcentaje"/>
    <tableColumn id="9" xr3:uid="{6F21B7B7-946D-49D2-94DD-9C5781CD8DB3}" name="CUMPLE" dataDxfId="680" dataCellStyle="Porcentaje">
      <calculatedColumnFormula>+IFERROR(+AVERAGE(C6,D6,E6,F6,G6,H6,I6),"")</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4:J16"/>
  <sheetViews>
    <sheetView showGridLines="0" topLeftCell="A3" workbookViewId="0">
      <selection activeCell="K26" sqref="K26"/>
    </sheetView>
  </sheetViews>
  <sheetFormatPr baseColWidth="10" defaultColWidth="10.83203125" defaultRowHeight="27" customHeight="1"/>
  <cols>
    <col min="1" max="1" width="6.08203125" style="1" customWidth="1"/>
    <col min="2" max="2" width="64.25" style="1" customWidth="1"/>
    <col min="3" max="3" width="26.75" style="1" customWidth="1"/>
    <col min="4" max="7" width="15.33203125" style="1" customWidth="1"/>
    <col min="8" max="8" width="25.58203125" style="1" customWidth="1"/>
    <col min="9" max="9" width="15.33203125" style="1" customWidth="1"/>
    <col min="10" max="10" width="11.83203125" style="1" bestFit="1" customWidth="1"/>
    <col min="11" max="16384" width="10.83203125" style="1"/>
  </cols>
  <sheetData>
    <row r="4" spans="1:10" ht="7" customHeight="1"/>
    <row r="5" spans="1:10" ht="43" customHeight="1" thickBot="1">
      <c r="B5" s="30" t="s">
        <v>25</v>
      </c>
      <c r="C5" s="21" t="s">
        <v>538</v>
      </c>
      <c r="D5" s="21" t="s">
        <v>238</v>
      </c>
      <c r="E5" s="21" t="s">
        <v>9</v>
      </c>
      <c r="F5" s="21" t="s">
        <v>239</v>
      </c>
      <c r="G5" s="21" t="s">
        <v>240</v>
      </c>
      <c r="H5" s="21" t="s">
        <v>241</v>
      </c>
      <c r="I5" s="21" t="s">
        <v>242</v>
      </c>
      <c r="J5" s="21" t="s">
        <v>50</v>
      </c>
    </row>
    <row r="6" spans="1:10" ht="27" customHeight="1" thickTop="1">
      <c r="B6" s="65" t="s">
        <v>1015</v>
      </c>
      <c r="C6" s="66">
        <v>0.98</v>
      </c>
      <c r="D6" s="66">
        <v>0.98</v>
      </c>
      <c r="E6" s="66">
        <v>0.98</v>
      </c>
      <c r="F6" s="66">
        <v>0.98</v>
      </c>
      <c r="G6" s="66">
        <v>0.98</v>
      </c>
      <c r="H6" s="66">
        <v>0.98</v>
      </c>
      <c r="I6" s="66">
        <v>0.98</v>
      </c>
      <c r="J6" s="66">
        <v>0.98</v>
      </c>
    </row>
    <row r="7" spans="1:10" ht="27" customHeight="1">
      <c r="A7" s="23" t="s">
        <v>29</v>
      </c>
      <c r="B7" s="24" t="s">
        <v>26</v>
      </c>
      <c r="C7" s="66" t="str">
        <f>+SGC!G41</f>
        <v/>
      </c>
      <c r="D7" s="66" t="str">
        <f>+SGC!G86</f>
        <v/>
      </c>
      <c r="E7" s="66" t="str">
        <f>+SGC!G131</f>
        <v/>
      </c>
      <c r="F7" s="66" t="str">
        <f>+SGC!G226</f>
        <v/>
      </c>
      <c r="G7" s="66" t="str">
        <f>+SGC!G424</f>
        <v>-</v>
      </c>
      <c r="H7" s="66" t="str">
        <f>+SGC!G491</f>
        <v/>
      </c>
      <c r="I7" s="66" t="str">
        <f>+SGC!G522</f>
        <v/>
      </c>
      <c r="J7" s="66" t="str">
        <f>+IFERROR(+AVERAGE(C7,D7,E7,F7,G7,H7,I7),"")</f>
        <v/>
      </c>
    </row>
    <row r="8" spans="1:10" ht="27" customHeight="1">
      <c r="A8" s="25" t="s">
        <v>30</v>
      </c>
      <c r="B8" s="26" t="s">
        <v>27</v>
      </c>
      <c r="C8" s="66" t="str">
        <f>+SGA!G37</f>
        <v/>
      </c>
      <c r="D8" s="66" t="str">
        <f>+SGA!G69</f>
        <v/>
      </c>
      <c r="E8" s="66" t="str">
        <f>+SGA!G139</f>
        <v/>
      </c>
      <c r="F8" s="66" t="str">
        <f>+SGA!G203</f>
        <v/>
      </c>
      <c r="G8" s="66" t="str">
        <f>+SGA!G229</f>
        <v/>
      </c>
      <c r="H8" s="66" t="str">
        <f>+SGA!G297</f>
        <v/>
      </c>
      <c r="I8" s="66" t="str">
        <f>+SGA!G322</f>
        <v/>
      </c>
      <c r="J8" s="66" t="str">
        <f>+IFERROR(+AVERAGE(C8,D8,E8,F8,G8,H8,I8),"")</f>
        <v/>
      </c>
    </row>
    <row r="9" spans="1:10" ht="27" customHeight="1">
      <c r="A9" s="27" t="s">
        <v>31</v>
      </c>
      <c r="B9" s="28" t="s">
        <v>28</v>
      </c>
      <c r="C9" s="66" t="str">
        <f>+SST!G25</f>
        <v/>
      </c>
      <c r="D9" s="66" t="str">
        <f>+SST!G72</f>
        <v/>
      </c>
      <c r="E9" s="66" t="str">
        <f>+SST!G146</f>
        <v/>
      </c>
      <c r="F9" s="66" t="str">
        <f>+SST!G212</f>
        <v/>
      </c>
      <c r="G9" s="66" t="str">
        <f>+SST!G270</f>
        <v/>
      </c>
      <c r="H9" s="66" t="str">
        <f>+SST!G322</f>
        <v/>
      </c>
      <c r="I9" s="66" t="str">
        <f>+SST!G350</f>
        <v/>
      </c>
      <c r="J9" s="66" t="str">
        <f>+IFERROR(+AVERAGE(C9,D9,E9,F9,G9,H9,I9),"")</f>
        <v/>
      </c>
    </row>
    <row r="14" spans="1:10" ht="27" customHeight="1">
      <c r="I14" s="51" t="s">
        <v>55</v>
      </c>
    </row>
    <row r="15" spans="1:10" ht="27" customHeight="1">
      <c r="B15" s="20" t="s">
        <v>51</v>
      </c>
      <c r="C15" s="20" t="s">
        <v>55</v>
      </c>
    </row>
    <row r="16" spans="1:10" ht="27" customHeight="1">
      <c r="C16" s="67" t="s">
        <v>55</v>
      </c>
      <c r="D16" s="67"/>
      <c r="E16" s="67"/>
      <c r="F16" s="67"/>
      <c r="G16" s="67"/>
    </row>
  </sheetData>
  <mergeCells count="1">
    <mergeCell ref="C16:G16"/>
  </mergeCells>
  <conditionalFormatting sqref="C6:C9">
    <cfRule type="cellIs" dxfId="679" priority="27" operator="between">
      <formula>0.6</formula>
      <formula>74.9999%</formula>
    </cfRule>
    <cfRule type="cellIs" dxfId="678" priority="25" operator="between">
      <formula>0.96</formula>
      <formula>1</formula>
    </cfRule>
    <cfRule type="cellIs" dxfId="677" priority="26" operator="between">
      <formula>0.75</formula>
      <formula>95.9999</formula>
    </cfRule>
    <cfRule type="cellIs" dxfId="676" priority="28" operator="between">
      <formula>0</formula>
      <formula>59.9999%</formula>
    </cfRule>
  </conditionalFormatting>
  <conditionalFormatting sqref="D7">
    <cfRule type="cellIs" dxfId="675" priority="112" operator="between">
      <formula>0</formula>
      <formula>59.9999%</formula>
    </cfRule>
    <cfRule type="cellIs" dxfId="674" priority="111" operator="between">
      <formula>0.6</formula>
      <formula>74.9999%</formula>
    </cfRule>
    <cfRule type="cellIs" dxfId="673" priority="110" operator="between">
      <formula>0.75</formula>
      <formula>95.9999</formula>
    </cfRule>
    <cfRule type="cellIs" dxfId="672" priority="109" operator="between">
      <formula>0.96</formula>
      <formula>1</formula>
    </cfRule>
  </conditionalFormatting>
  <conditionalFormatting sqref="D9:E9 G9:H9">
    <cfRule type="cellIs" dxfId="671" priority="84" operator="between">
      <formula>0</formula>
      <formula>59.9999%</formula>
    </cfRule>
    <cfRule type="cellIs" dxfId="670" priority="83" operator="between">
      <formula>0.6</formula>
      <formula>74.9999%</formula>
    </cfRule>
    <cfRule type="cellIs" dxfId="669" priority="82" operator="between">
      <formula>0.75</formula>
      <formula>95.9999</formula>
    </cfRule>
    <cfRule type="cellIs" dxfId="668" priority="81" operator="between">
      <formula>0.96</formula>
      <formula>1</formula>
    </cfRule>
  </conditionalFormatting>
  <conditionalFormatting sqref="D8:H8">
    <cfRule type="cellIs" dxfId="667" priority="88" operator="between">
      <formula>0</formula>
      <formula>59.9999%</formula>
    </cfRule>
    <cfRule type="cellIs" dxfId="666" priority="86" operator="between">
      <formula>0.75</formula>
      <formula>95.9999</formula>
    </cfRule>
    <cfRule type="cellIs" dxfId="665" priority="85" operator="between">
      <formula>0.96</formula>
      <formula>1</formula>
    </cfRule>
    <cfRule type="cellIs" dxfId="664" priority="87" operator="between">
      <formula>0.6</formula>
      <formula>74.9999%</formula>
    </cfRule>
  </conditionalFormatting>
  <conditionalFormatting sqref="D6:I6">
    <cfRule type="cellIs" dxfId="663" priority="9" operator="between">
      <formula>0.96</formula>
      <formula>1</formula>
    </cfRule>
    <cfRule type="cellIs" dxfId="662" priority="10" operator="between">
      <formula>0.75</formula>
      <formula>95.9999</formula>
    </cfRule>
    <cfRule type="cellIs" dxfId="661" priority="12" operator="between">
      <formula>0</formula>
      <formula>59.9999%</formula>
    </cfRule>
    <cfRule type="cellIs" dxfId="660" priority="11" operator="between">
      <formula>0.6</formula>
      <formula>74.9999%</formula>
    </cfRule>
  </conditionalFormatting>
  <conditionalFormatting sqref="E7">
    <cfRule type="cellIs" dxfId="659" priority="108" operator="between">
      <formula>0</formula>
      <formula>59.9999%</formula>
    </cfRule>
    <cfRule type="cellIs" dxfId="658" priority="107" operator="between">
      <formula>0.6</formula>
      <formula>74.9999%</formula>
    </cfRule>
    <cfRule type="cellIs" dxfId="657" priority="105" operator="between">
      <formula>0.96</formula>
      <formula>1</formula>
    </cfRule>
    <cfRule type="cellIs" dxfId="656" priority="106" operator="between">
      <formula>0.75</formula>
      <formula>95.9999</formula>
    </cfRule>
  </conditionalFormatting>
  <conditionalFormatting sqref="F7">
    <cfRule type="cellIs" dxfId="655" priority="103" operator="between">
      <formula>0.6</formula>
      <formula>74.9999%</formula>
    </cfRule>
    <cfRule type="cellIs" dxfId="654" priority="102" operator="between">
      <formula>0.75</formula>
      <formula>95.9999</formula>
    </cfRule>
    <cfRule type="cellIs" dxfId="653" priority="101" operator="between">
      <formula>0.96</formula>
      <formula>1</formula>
    </cfRule>
    <cfRule type="cellIs" dxfId="652" priority="104" operator="between">
      <formula>0</formula>
      <formula>59.9999%</formula>
    </cfRule>
  </conditionalFormatting>
  <conditionalFormatting sqref="F9">
    <cfRule type="cellIs" dxfId="651" priority="41" operator="between">
      <formula>0.96</formula>
      <formula>1</formula>
    </cfRule>
    <cfRule type="cellIs" dxfId="650" priority="43" operator="between">
      <formula>0.6</formula>
      <formula>74.9999%</formula>
    </cfRule>
    <cfRule type="cellIs" dxfId="649" priority="44" operator="between">
      <formula>0</formula>
      <formula>59.9999%</formula>
    </cfRule>
    <cfRule type="cellIs" dxfId="648" priority="42" operator="between">
      <formula>0.75</formula>
      <formula>95.9999</formula>
    </cfRule>
  </conditionalFormatting>
  <conditionalFormatting sqref="G7">
    <cfRule type="cellIs" dxfId="647" priority="100" operator="between">
      <formula>0</formula>
      <formula>59.9999%</formula>
    </cfRule>
    <cfRule type="cellIs" dxfId="646" priority="99" operator="between">
      <formula>0.6</formula>
      <formula>74.9999%</formula>
    </cfRule>
    <cfRule type="cellIs" dxfId="645" priority="98" operator="between">
      <formula>0.75</formula>
      <formula>95.9999</formula>
    </cfRule>
    <cfRule type="cellIs" dxfId="644" priority="97" operator="between">
      <formula>0.96</formula>
      <formula>1</formula>
    </cfRule>
  </conditionalFormatting>
  <conditionalFormatting sqref="H7">
    <cfRule type="cellIs" dxfId="643" priority="96" operator="between">
      <formula>0</formula>
      <formula>59.9999%</formula>
    </cfRule>
    <cfRule type="cellIs" dxfId="642" priority="93" operator="between">
      <formula>0.96</formula>
      <formula>1</formula>
    </cfRule>
    <cfRule type="cellIs" dxfId="641" priority="94" operator="between">
      <formula>0.75</formula>
      <formula>95.9999</formula>
    </cfRule>
    <cfRule type="cellIs" dxfId="640" priority="95" operator="between">
      <formula>0.6</formula>
      <formula>74.9999%</formula>
    </cfRule>
  </conditionalFormatting>
  <conditionalFormatting sqref="I7:I9">
    <cfRule type="cellIs" dxfId="639" priority="60" operator="between">
      <formula>0</formula>
      <formula>59.9999%</formula>
    </cfRule>
    <cfRule type="cellIs" dxfId="638" priority="58" operator="between">
      <formula>0.75</formula>
      <formula>95.9999</formula>
    </cfRule>
    <cfRule type="cellIs" dxfId="637" priority="59" operator="between">
      <formula>0.6</formula>
      <formula>74.9999%</formula>
    </cfRule>
    <cfRule type="cellIs" dxfId="636" priority="57" operator="between">
      <formula>0.96</formula>
      <formula>1</formula>
    </cfRule>
  </conditionalFormatting>
  <conditionalFormatting sqref="J6:J9">
    <cfRule type="cellIs" dxfId="635" priority="3" operator="between">
      <formula>0.6</formula>
      <formula>74.9999%</formula>
    </cfRule>
    <cfRule type="cellIs" dxfId="634" priority="4" operator="between">
      <formula>0</formula>
      <formula>59.9999%</formula>
    </cfRule>
    <cfRule type="cellIs" dxfId="633" priority="2" operator="between">
      <formula>0.75</formula>
      <formula>95.9999</formula>
    </cfRule>
    <cfRule type="cellIs" dxfId="632" priority="1" operator="between">
      <formula>0.96</formula>
      <formula>1</formula>
    </cfRule>
  </conditionalFormatting>
  <hyperlinks>
    <hyperlink ref="A7" location="SGC!A1" display="GC" xr:uid="{00000000-0004-0000-0000-000000000000}"/>
    <hyperlink ref="A8" location="SGA!A1" display="GMA" xr:uid="{00000000-0004-0000-0000-000001000000}"/>
    <hyperlink ref="A9" location="SST!A1" display="GSST" xr:uid="{00000000-0004-0000-0000-000002000000}"/>
  </hyperlinks>
  <pageMargins left="0.75" right="0.75" top="1" bottom="1" header="0.5" footer="0.5"/>
  <pageSetup orientation="portrait" horizontalDpi="4294967292" verticalDpi="4294967292"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66FF"/>
  </sheetPr>
  <dimension ref="A1:N522"/>
  <sheetViews>
    <sheetView showGridLines="0" tabSelected="1" workbookViewId="0">
      <selection activeCell="C10" sqref="C10:C12"/>
    </sheetView>
  </sheetViews>
  <sheetFormatPr baseColWidth="10" defaultColWidth="10.83203125" defaultRowHeight="15.5"/>
  <cols>
    <col min="1" max="1" width="6.58203125" style="2" bestFit="1" customWidth="1"/>
    <col min="2" max="2" width="94.83203125" style="3" bestFit="1" customWidth="1"/>
    <col min="3" max="3" width="10.83203125" style="2"/>
    <col min="4" max="4" width="16.08203125" style="5" bestFit="1" customWidth="1"/>
    <col min="5" max="5" width="25.08203125" style="1" customWidth="1"/>
    <col min="6" max="6" width="1.83203125" style="1" customWidth="1"/>
    <col min="7" max="12" width="10.83203125" style="1"/>
    <col min="13" max="13" width="12" style="1" bestFit="1" customWidth="1"/>
    <col min="14" max="16384" width="10.83203125" style="1"/>
  </cols>
  <sheetData>
    <row r="1" spans="1:14" ht="30" customHeight="1">
      <c r="B1" s="4" t="s">
        <v>539</v>
      </c>
      <c r="D1" s="37" t="s">
        <v>32</v>
      </c>
    </row>
    <row r="2" spans="1:14" ht="6" customHeight="1">
      <c r="A2" s="2" t="s">
        <v>55</v>
      </c>
      <c r="B2" s="4" t="s">
        <v>55</v>
      </c>
    </row>
    <row r="3" spans="1:14" ht="26.15" customHeight="1">
      <c r="A3" s="35">
        <v>4</v>
      </c>
      <c r="B3" s="32" t="s">
        <v>52</v>
      </c>
    </row>
    <row r="4" spans="1:14" ht="26.15" customHeight="1">
      <c r="A4" s="34" t="s">
        <v>4</v>
      </c>
      <c r="B4" s="33" t="s">
        <v>53</v>
      </c>
      <c r="G4"/>
      <c r="H4"/>
      <c r="I4"/>
      <c r="J4"/>
      <c r="K4"/>
      <c r="L4"/>
      <c r="M4"/>
      <c r="N4"/>
    </row>
    <row r="5" spans="1:14" ht="36" customHeight="1">
      <c r="A5" s="6">
        <v>1</v>
      </c>
      <c r="B5" s="7" t="s">
        <v>511</v>
      </c>
      <c r="C5" s="6"/>
      <c r="D5" s="8" t="str">
        <f>+IF(C5="","",+IF(C5=0,"No Cumple",+IF(C5=1,"Cumple Parcial",+IF(C5=2,"Cumple Completo",+IF(C5="N","NA")))))</f>
        <v/>
      </c>
      <c r="E5" s="39"/>
      <c r="G5"/>
      <c r="H5"/>
      <c r="I5"/>
      <c r="J5"/>
      <c r="K5"/>
      <c r="L5"/>
      <c r="M5"/>
      <c r="N5"/>
    </row>
    <row r="6" spans="1:14" ht="30" customHeight="1">
      <c r="A6" s="6">
        <f>1+A5</f>
        <v>2</v>
      </c>
      <c r="B6" s="7" t="s">
        <v>540</v>
      </c>
      <c r="C6" s="6"/>
      <c r="D6" s="8" t="str">
        <f t="shared" ref="D6" si="0">+IF(C6="","",+IF(C6=0,"No Cumple",+IF(C6=1,"Cumple Parcial",+IF(C6=2,"Cumple Completo",+IF(C6="N","NA")))))</f>
        <v/>
      </c>
      <c r="E6" s="39" t="s">
        <v>55</v>
      </c>
      <c r="G6"/>
      <c r="H6"/>
      <c r="I6"/>
      <c r="J6"/>
      <c r="K6"/>
      <c r="L6"/>
      <c r="M6"/>
      <c r="N6"/>
    </row>
    <row r="7" spans="1:14" ht="30" customHeight="1" thickBot="1">
      <c r="A7" s="12"/>
      <c r="B7" s="13"/>
      <c r="C7" s="16">
        <f>SUM(C5:C6)</f>
        <v>0</v>
      </c>
      <c r="D7" s="16">
        <f>+COUNT(C5:C6)*2</f>
        <v>0</v>
      </c>
      <c r="E7" s="40" t="str">
        <f>+IF(C5="","",C7/D7)</f>
        <v/>
      </c>
      <c r="G7"/>
      <c r="H7"/>
      <c r="I7"/>
      <c r="J7"/>
      <c r="K7"/>
      <c r="L7"/>
      <c r="M7"/>
      <c r="N7"/>
    </row>
    <row r="8" spans="1:14" customFormat="1" ht="7" customHeight="1"/>
    <row r="9" spans="1:14" ht="25" customHeight="1">
      <c r="A9" s="34" t="s">
        <v>0</v>
      </c>
      <c r="B9" s="33" t="s">
        <v>54</v>
      </c>
      <c r="G9"/>
      <c r="H9"/>
      <c r="I9"/>
      <c r="J9"/>
      <c r="K9"/>
      <c r="L9"/>
      <c r="M9"/>
      <c r="N9"/>
    </row>
    <row r="10" spans="1:14" ht="29.15" customHeight="1">
      <c r="A10" s="6">
        <f>1+A6</f>
        <v>3</v>
      </c>
      <c r="B10" s="7" t="s">
        <v>56</v>
      </c>
      <c r="C10" s="6"/>
      <c r="D10" s="8" t="str">
        <f t="shared" ref="D10:D11" si="1">+IF(C10="","",+IF(C10=0,"No Cumple",+IF(C10=1,"Cumple Parcial",+IF(C10=2,"Cumple Completo",+IF(C10="N","NA")))))</f>
        <v/>
      </c>
      <c r="E10" s="39"/>
      <c r="G10"/>
      <c r="H10"/>
      <c r="I10"/>
      <c r="J10"/>
      <c r="K10"/>
      <c r="L10"/>
      <c r="M10"/>
      <c r="N10"/>
    </row>
    <row r="11" spans="1:14" ht="30" customHeight="1">
      <c r="A11" s="6">
        <f>1+A10</f>
        <v>4</v>
      </c>
      <c r="B11" s="7" t="s">
        <v>57</v>
      </c>
      <c r="C11" s="6"/>
      <c r="D11" s="8" t="str">
        <f t="shared" si="1"/>
        <v/>
      </c>
      <c r="E11" s="39"/>
      <c r="G11"/>
      <c r="H11"/>
      <c r="I11"/>
      <c r="J11"/>
      <c r="K11"/>
      <c r="L11"/>
      <c r="M11"/>
      <c r="N11"/>
    </row>
    <row r="12" spans="1:14" ht="30" customHeight="1">
      <c r="A12" s="6">
        <f>1+A11</f>
        <v>5</v>
      </c>
      <c r="B12" s="7" t="s">
        <v>58</v>
      </c>
      <c r="C12" s="6"/>
      <c r="D12" s="8" t="str">
        <f t="shared" ref="D12" si="2">+IF(C12="","",+IF(C12=0,"No Cumple",+IF(C12=1,"Cumple Parcial",+IF(C12=2,"Cumple Completo",+IF(C12="N","NA")))))</f>
        <v/>
      </c>
      <c r="E12" s="39" t="s">
        <v>55</v>
      </c>
      <c r="G12"/>
      <c r="H12"/>
      <c r="I12"/>
      <c r="J12"/>
      <c r="K12"/>
      <c r="L12"/>
      <c r="M12"/>
      <c r="N12"/>
    </row>
    <row r="13" spans="1:14" ht="31" customHeight="1" thickBot="1">
      <c r="A13" s="14"/>
      <c r="B13" s="15"/>
      <c r="C13" s="16">
        <f>SUM(C10:C12)</f>
        <v>0</v>
      </c>
      <c r="D13" s="16">
        <f>+COUNT(C10:C12)*2</f>
        <v>0</v>
      </c>
      <c r="E13" s="40" t="str">
        <f>+IF(C10="","",C13/D13)</f>
        <v/>
      </c>
      <c r="G13"/>
      <c r="H13"/>
      <c r="I13"/>
      <c r="J13"/>
      <c r="K13"/>
      <c r="L13"/>
      <c r="M13"/>
      <c r="N13"/>
    </row>
    <row r="14" spans="1:14" customFormat="1" ht="7" customHeight="1"/>
    <row r="15" spans="1:14" ht="26.15" customHeight="1">
      <c r="A15" s="34" t="s">
        <v>19</v>
      </c>
      <c r="B15" s="33" t="s">
        <v>59</v>
      </c>
      <c r="G15"/>
      <c r="H15"/>
      <c r="I15"/>
      <c r="J15"/>
      <c r="K15"/>
      <c r="L15"/>
      <c r="M15"/>
      <c r="N15"/>
    </row>
    <row r="16" spans="1:14" ht="31" customHeight="1">
      <c r="A16" s="6">
        <f>1+A12</f>
        <v>6</v>
      </c>
      <c r="B16" s="7" t="s">
        <v>60</v>
      </c>
      <c r="C16" s="6"/>
      <c r="D16" s="8" t="str">
        <f t="shared" ref="D16" si="3">+IF(C16="","",+IF(C16=0,"No Cumple",+IF(C16=1,"Cumple Parcial",+IF(C16=2,"Cumple Completo",+IF(C16="N","NA")))))</f>
        <v/>
      </c>
      <c r="E16" s="39"/>
      <c r="G16"/>
      <c r="H16"/>
      <c r="I16"/>
      <c r="J16"/>
      <c r="K16"/>
      <c r="L16"/>
      <c r="M16"/>
      <c r="N16"/>
    </row>
    <row r="17" spans="1:14" ht="31" customHeight="1">
      <c r="A17" s="6">
        <f>1+A16</f>
        <v>7</v>
      </c>
      <c r="B17" s="7" t="s">
        <v>61</v>
      </c>
      <c r="C17" s="6"/>
      <c r="D17" s="8" t="str">
        <f t="shared" ref="D17:D22" si="4">+IF(C17="","",+IF(C17=0,"No Cumple",+IF(C17=1,"Cumple Parcial",+IF(C17=2,"Cumple Completo",+IF(C17="N","NA")))))</f>
        <v/>
      </c>
      <c r="E17" s="39"/>
      <c r="G17"/>
      <c r="H17"/>
      <c r="I17"/>
      <c r="J17"/>
      <c r="K17"/>
      <c r="L17"/>
      <c r="M17"/>
      <c r="N17"/>
    </row>
    <row r="18" spans="1:14" ht="31" customHeight="1">
      <c r="A18" s="6">
        <f t="shared" ref="A18:A22" si="5">1+A17</f>
        <v>8</v>
      </c>
      <c r="B18" s="36" t="s">
        <v>78</v>
      </c>
      <c r="C18" s="6"/>
      <c r="D18" s="8" t="str">
        <f t="shared" si="4"/>
        <v/>
      </c>
      <c r="E18" s="39"/>
      <c r="G18"/>
      <c r="H18"/>
      <c r="I18"/>
      <c r="J18"/>
      <c r="K18"/>
      <c r="L18"/>
      <c r="M18"/>
      <c r="N18"/>
    </row>
    <row r="19" spans="1:14" ht="31" customHeight="1">
      <c r="A19" s="6">
        <f t="shared" si="5"/>
        <v>9</v>
      </c>
      <c r="B19" s="36" t="s">
        <v>79</v>
      </c>
      <c r="C19" s="6"/>
      <c r="D19" s="8" t="str">
        <f t="shared" si="4"/>
        <v/>
      </c>
      <c r="E19" s="39"/>
      <c r="G19"/>
      <c r="H19"/>
      <c r="I19"/>
      <c r="J19"/>
      <c r="K19"/>
      <c r="L19"/>
      <c r="M19"/>
      <c r="N19"/>
    </row>
    <row r="20" spans="1:14" ht="31" customHeight="1">
      <c r="A20" s="6">
        <f t="shared" si="5"/>
        <v>10</v>
      </c>
      <c r="B20" s="36" t="s">
        <v>80</v>
      </c>
      <c r="C20" s="6"/>
      <c r="D20" s="8" t="str">
        <f t="shared" si="4"/>
        <v/>
      </c>
      <c r="E20" s="39"/>
      <c r="G20"/>
      <c r="H20"/>
      <c r="I20"/>
      <c r="J20"/>
      <c r="K20"/>
      <c r="L20"/>
      <c r="M20"/>
      <c r="N20"/>
    </row>
    <row r="21" spans="1:14" ht="31" customHeight="1">
      <c r="A21" s="6">
        <f t="shared" si="5"/>
        <v>11</v>
      </c>
      <c r="B21" s="7" t="s">
        <v>62</v>
      </c>
      <c r="C21" s="6"/>
      <c r="D21" s="8" t="str">
        <f t="shared" si="4"/>
        <v/>
      </c>
      <c r="E21" s="39"/>
    </row>
    <row r="22" spans="1:14" ht="31" customHeight="1">
      <c r="A22" s="6">
        <f t="shared" si="5"/>
        <v>12</v>
      </c>
      <c r="B22" s="7" t="s">
        <v>63</v>
      </c>
      <c r="C22" s="6"/>
      <c r="D22" s="8" t="str">
        <f t="shared" si="4"/>
        <v/>
      </c>
      <c r="E22" s="39"/>
    </row>
    <row r="23" spans="1:14" ht="30" customHeight="1" thickBot="1">
      <c r="A23" s="14"/>
      <c r="B23" s="15"/>
      <c r="C23" s="16">
        <f>SUM(C16:C22)</f>
        <v>0</v>
      </c>
      <c r="D23" s="16">
        <f>+COUNT(C16:C22)*2</f>
        <v>0</v>
      </c>
      <c r="E23" s="40" t="str">
        <f>+IF(C16="","",C23/D23)</f>
        <v/>
      </c>
    </row>
    <row r="24" spans="1:14" customFormat="1" ht="7" customHeight="1"/>
    <row r="25" spans="1:14" ht="25" customHeight="1">
      <c r="A25" s="34" t="s">
        <v>22</v>
      </c>
      <c r="B25" s="33" t="s">
        <v>64</v>
      </c>
    </row>
    <row r="26" spans="1:14" ht="23.15" customHeight="1">
      <c r="A26" s="34" t="s">
        <v>23</v>
      </c>
      <c r="B26" s="33" t="s">
        <v>65</v>
      </c>
    </row>
    <row r="27" spans="1:14" ht="31">
      <c r="A27" s="6">
        <f>1+A22</f>
        <v>13</v>
      </c>
      <c r="B27" s="7" t="s">
        <v>66</v>
      </c>
      <c r="C27" s="6"/>
      <c r="D27" s="8" t="str">
        <f t="shared" ref="D27:D35" si="6">+IF(C27="","",+IF(C27=0,"No Cumple",+IF(C27=1,"Cumple Parcial",+IF(C27=2,"Cumple Completo",+IF(C27="N","NA")))))</f>
        <v/>
      </c>
      <c r="E27" s="39"/>
    </row>
    <row r="28" spans="1:14" ht="31" customHeight="1">
      <c r="A28" s="6">
        <f>1+A27</f>
        <v>14</v>
      </c>
      <c r="B28" s="7" t="s">
        <v>67</v>
      </c>
      <c r="C28" s="6"/>
      <c r="D28" s="8" t="str">
        <f t="shared" si="6"/>
        <v/>
      </c>
      <c r="E28" s="39"/>
    </row>
    <row r="29" spans="1:14" ht="31" customHeight="1">
      <c r="A29" s="6">
        <f>1+A28</f>
        <v>15</v>
      </c>
      <c r="B29" s="7" t="s">
        <v>68</v>
      </c>
      <c r="C29" s="6"/>
      <c r="D29" s="8" t="str">
        <f t="shared" si="6"/>
        <v/>
      </c>
      <c r="E29" s="39"/>
    </row>
    <row r="30" spans="1:14" ht="31" customHeight="1">
      <c r="A30" s="6">
        <f t="shared" ref="A30:A35" si="7">1+A29</f>
        <v>16</v>
      </c>
      <c r="B30" s="7" t="s">
        <v>69</v>
      </c>
      <c r="C30" s="6"/>
      <c r="D30" s="8" t="str">
        <f t="shared" si="6"/>
        <v/>
      </c>
      <c r="E30" s="39"/>
    </row>
    <row r="31" spans="1:14" ht="31" customHeight="1">
      <c r="A31" s="6">
        <f t="shared" si="7"/>
        <v>17</v>
      </c>
      <c r="B31" s="7" t="s">
        <v>72</v>
      </c>
      <c r="C31" s="6"/>
      <c r="D31" s="8" t="str">
        <f t="shared" si="6"/>
        <v/>
      </c>
      <c r="E31" s="39"/>
    </row>
    <row r="32" spans="1:14" ht="31" customHeight="1">
      <c r="A32" s="6">
        <f t="shared" si="7"/>
        <v>18</v>
      </c>
      <c r="B32" s="17" t="s">
        <v>70</v>
      </c>
      <c r="C32" s="6"/>
      <c r="D32" s="8" t="str">
        <f t="shared" si="6"/>
        <v/>
      </c>
      <c r="E32" s="39"/>
    </row>
    <row r="33" spans="1:7" ht="31" customHeight="1">
      <c r="A33" s="6">
        <f t="shared" si="7"/>
        <v>19</v>
      </c>
      <c r="B33" s="17" t="s">
        <v>71</v>
      </c>
      <c r="C33" s="6"/>
      <c r="D33" s="8" t="str">
        <f t="shared" si="6"/>
        <v/>
      </c>
      <c r="E33" s="39"/>
    </row>
    <row r="34" spans="1:7" ht="31" customHeight="1">
      <c r="A34" s="6">
        <f t="shared" si="7"/>
        <v>20</v>
      </c>
      <c r="B34" s="17" t="s">
        <v>73</v>
      </c>
      <c r="C34" s="6"/>
      <c r="D34" s="8" t="str">
        <f t="shared" si="6"/>
        <v/>
      </c>
      <c r="E34" s="39"/>
    </row>
    <row r="35" spans="1:7" ht="31" customHeight="1">
      <c r="A35" s="6">
        <f t="shared" si="7"/>
        <v>21</v>
      </c>
      <c r="B35" s="17" t="s">
        <v>74</v>
      </c>
      <c r="C35" s="6"/>
      <c r="D35" s="8" t="str">
        <f t="shared" si="6"/>
        <v/>
      </c>
      <c r="E35" s="39"/>
    </row>
    <row r="36" spans="1:7" ht="29.15" customHeight="1" thickBot="1">
      <c r="A36" s="12"/>
      <c r="B36" s="13"/>
      <c r="C36" s="16">
        <f>SUM(C27:C35)</f>
        <v>0</v>
      </c>
      <c r="D36" s="16">
        <f>+COUNT(C27:C35)*2</f>
        <v>0</v>
      </c>
      <c r="E36" s="40" t="str">
        <f>+IF(C27="","",C36/D36)</f>
        <v/>
      </c>
    </row>
    <row r="37" spans="1:7" customFormat="1" ht="7" customHeight="1"/>
    <row r="38" spans="1:7" ht="23.15" customHeight="1">
      <c r="A38" s="34" t="s">
        <v>24</v>
      </c>
      <c r="B38" s="33" t="s">
        <v>75</v>
      </c>
    </row>
    <row r="39" spans="1:7" ht="29.15" customHeight="1">
      <c r="A39" s="6">
        <f>1+A35</f>
        <v>22</v>
      </c>
      <c r="B39" s="7" t="s">
        <v>76</v>
      </c>
      <c r="C39" s="6"/>
      <c r="D39" s="8" t="str">
        <f t="shared" ref="D39:D40" si="8">+IF(C39="","",+IF(C39=0,"No Cumple",+IF(C39=1,"Cumple Parcial",+IF(C39=2,"Cumple Completo",+IF(C39="N","NA")))))</f>
        <v/>
      </c>
      <c r="E39" s="39"/>
    </row>
    <row r="40" spans="1:7" ht="31">
      <c r="A40" s="6">
        <f>1+A39</f>
        <v>23</v>
      </c>
      <c r="B40" s="7" t="s">
        <v>77</v>
      </c>
      <c r="C40" s="6"/>
      <c r="D40" s="8" t="str">
        <f t="shared" si="8"/>
        <v/>
      </c>
      <c r="E40" s="39"/>
    </row>
    <row r="41" spans="1:7" ht="30" customHeight="1" thickBot="1">
      <c r="A41" s="14"/>
      <c r="B41" s="15"/>
      <c r="C41" s="16">
        <f>SUM(C39:C40)</f>
        <v>0</v>
      </c>
      <c r="D41" s="16">
        <f>+COUNT(C39:C40)*2</f>
        <v>0</v>
      </c>
      <c r="E41" s="40" t="str">
        <f>+IF(C39="","",C41/D41)</f>
        <v/>
      </c>
      <c r="G41" s="29" t="str">
        <f>IFERROR(+AVERAGE(E7,E13,E23,E36,E41),"")</f>
        <v/>
      </c>
    </row>
    <row r="42" spans="1:7" customFormat="1" ht="7" customHeight="1"/>
    <row r="43" spans="1:7" ht="23.15" customHeight="1">
      <c r="A43" s="35">
        <v>5</v>
      </c>
      <c r="B43" s="32" t="s">
        <v>81</v>
      </c>
    </row>
    <row r="44" spans="1:7" ht="23.15" customHeight="1">
      <c r="A44" s="34" t="s">
        <v>5</v>
      </c>
      <c r="B44" s="33" t="s">
        <v>82</v>
      </c>
    </row>
    <row r="45" spans="1:7" ht="23.15" customHeight="1">
      <c r="A45" s="34" t="s">
        <v>83</v>
      </c>
      <c r="B45" s="33" t="s">
        <v>10</v>
      </c>
    </row>
    <row r="46" spans="1:7" ht="39" customHeight="1">
      <c r="A46" s="6">
        <f>1+A40</f>
        <v>24</v>
      </c>
      <c r="B46" s="7" t="s">
        <v>85</v>
      </c>
      <c r="C46" s="6"/>
      <c r="D46" s="8" t="str">
        <f t="shared" ref="D46:D56" si="9">+IF(C46="","",+IF(C46=0,"No Cumple",+IF(C46=1,"Cumple Parcial",+IF(C46=2,"Cumple Completo",+IF(C46="N","NA")))))</f>
        <v/>
      </c>
      <c r="E46" s="39"/>
    </row>
    <row r="47" spans="1:7" ht="39" customHeight="1">
      <c r="A47" s="6">
        <f>1+A46</f>
        <v>25</v>
      </c>
      <c r="B47" s="7" t="s">
        <v>86</v>
      </c>
      <c r="C47" s="19"/>
      <c r="D47" s="8" t="str">
        <f t="shared" si="9"/>
        <v/>
      </c>
      <c r="E47" s="39"/>
    </row>
    <row r="48" spans="1:7" ht="39" customHeight="1">
      <c r="A48" s="6">
        <f t="shared" ref="A48:A54" si="10">1+A47</f>
        <v>26</v>
      </c>
      <c r="B48" s="7" t="s">
        <v>87</v>
      </c>
      <c r="C48" s="19"/>
      <c r="D48" s="8" t="str">
        <f t="shared" si="9"/>
        <v/>
      </c>
      <c r="E48" s="39"/>
    </row>
    <row r="49" spans="1:5" ht="39" customHeight="1">
      <c r="A49" s="6">
        <f t="shared" si="10"/>
        <v>27</v>
      </c>
      <c r="B49" s="7" t="s">
        <v>88</v>
      </c>
      <c r="C49" s="19"/>
      <c r="D49" s="8" t="str">
        <f t="shared" si="9"/>
        <v/>
      </c>
      <c r="E49" s="39"/>
    </row>
    <row r="50" spans="1:5" ht="39" customHeight="1">
      <c r="A50" s="6">
        <f t="shared" si="10"/>
        <v>28</v>
      </c>
      <c r="B50" s="7" t="s">
        <v>89</v>
      </c>
      <c r="C50" s="19"/>
      <c r="D50" s="8" t="str">
        <f t="shared" si="9"/>
        <v/>
      </c>
      <c r="E50" s="39"/>
    </row>
    <row r="51" spans="1:5" ht="39" customHeight="1">
      <c r="A51" s="6">
        <f t="shared" si="10"/>
        <v>29</v>
      </c>
      <c r="B51" s="7" t="s">
        <v>90</v>
      </c>
      <c r="C51" s="19"/>
      <c r="D51" s="8" t="str">
        <f t="shared" si="9"/>
        <v/>
      </c>
      <c r="E51" s="39"/>
    </row>
    <row r="52" spans="1:5" ht="39" customHeight="1">
      <c r="A52" s="6">
        <f t="shared" si="10"/>
        <v>30</v>
      </c>
      <c r="B52" s="7" t="s">
        <v>91</v>
      </c>
      <c r="C52" s="19"/>
      <c r="D52" s="8" t="str">
        <f t="shared" si="9"/>
        <v/>
      </c>
      <c r="E52" s="39"/>
    </row>
    <row r="53" spans="1:5" ht="39" customHeight="1">
      <c r="A53" s="6">
        <f t="shared" si="10"/>
        <v>31</v>
      </c>
      <c r="B53" s="7" t="s">
        <v>92</v>
      </c>
      <c r="C53" s="19"/>
      <c r="D53" s="8" t="str">
        <f t="shared" si="9"/>
        <v/>
      </c>
      <c r="E53" s="39"/>
    </row>
    <row r="54" spans="1:5" ht="39" customHeight="1">
      <c r="A54" s="6">
        <f t="shared" si="10"/>
        <v>32</v>
      </c>
      <c r="B54" s="7" t="s">
        <v>93</v>
      </c>
      <c r="C54" s="19"/>
      <c r="D54" s="8" t="str">
        <f t="shared" si="9"/>
        <v/>
      </c>
      <c r="E54" s="39"/>
    </row>
    <row r="55" spans="1:5" ht="39" customHeight="1">
      <c r="A55" s="6">
        <f t="shared" ref="A55:A56" si="11">1+A54</f>
        <v>33</v>
      </c>
      <c r="B55" s="7" t="s">
        <v>572</v>
      </c>
      <c r="C55" s="19"/>
      <c r="D55" s="8" t="str">
        <f t="shared" si="9"/>
        <v/>
      </c>
      <c r="E55" s="39"/>
    </row>
    <row r="56" spans="1:5" ht="39" customHeight="1">
      <c r="A56" s="6">
        <f t="shared" si="11"/>
        <v>34</v>
      </c>
      <c r="B56" s="7" t="s">
        <v>573</v>
      </c>
      <c r="C56" s="6"/>
      <c r="D56" s="8" t="str">
        <f t="shared" si="9"/>
        <v/>
      </c>
      <c r="E56" s="39"/>
    </row>
    <row r="57" spans="1:5" ht="30" customHeight="1" thickBot="1">
      <c r="A57" s="14"/>
      <c r="B57" s="15"/>
      <c r="C57" s="16">
        <f>SUM(C46:C56)</f>
        <v>0</v>
      </c>
      <c r="D57" s="16">
        <f>+COUNT(C46:C56)*2</f>
        <v>0</v>
      </c>
      <c r="E57" s="11" t="str">
        <f>+IF(C47="","",C57/D57)</f>
        <v/>
      </c>
    </row>
    <row r="58" spans="1:5" ht="23.15" customHeight="1">
      <c r="A58" s="34" t="s">
        <v>94</v>
      </c>
      <c r="B58" s="33" t="s">
        <v>7</v>
      </c>
    </row>
    <row r="59" spans="1:5" ht="29.15" customHeight="1">
      <c r="A59" s="6">
        <f>1+A56</f>
        <v>35</v>
      </c>
      <c r="B59" s="7" t="s">
        <v>95</v>
      </c>
      <c r="C59" s="6"/>
      <c r="D59" s="8" t="str">
        <f t="shared" ref="D59" si="12">+IF(C59="","",+IF(C59=0,"No Cumple",+IF(C59=1,"Cumple Parcial",+IF(C59=2,"Cumple Completo",+IF(C59="N","NA")))))</f>
        <v/>
      </c>
      <c r="E59" s="39"/>
    </row>
    <row r="60" spans="1:5" ht="31">
      <c r="A60" s="6">
        <f>1+A59</f>
        <v>36</v>
      </c>
      <c r="B60" s="7" t="s">
        <v>96</v>
      </c>
      <c r="C60" s="6"/>
      <c r="D60" s="8" t="str">
        <f t="shared" ref="D60:D62" si="13">+IF(C60="","",+IF(C60=0,"No Cumple",+IF(C60=1,"Cumple Parcial",+IF(C60=2,"Cumple Completo",+IF(C60="N","NA")))))</f>
        <v/>
      </c>
      <c r="E60" s="39"/>
    </row>
    <row r="61" spans="1:5" ht="31">
      <c r="A61" s="6">
        <f t="shared" ref="A61:A62" si="14">1+A60</f>
        <v>37</v>
      </c>
      <c r="B61" s="7" t="s">
        <v>97</v>
      </c>
      <c r="C61" s="19"/>
      <c r="D61" s="8" t="str">
        <f t="shared" si="13"/>
        <v/>
      </c>
      <c r="E61" s="39"/>
    </row>
    <row r="62" spans="1:5" ht="26.15" customHeight="1">
      <c r="A62" s="6">
        <f t="shared" si="14"/>
        <v>38</v>
      </c>
      <c r="B62" s="7" t="s">
        <v>98</v>
      </c>
      <c r="C62" s="6"/>
      <c r="D62" s="8" t="str">
        <f t="shared" si="13"/>
        <v/>
      </c>
      <c r="E62" s="39"/>
    </row>
    <row r="63" spans="1:5" ht="29.15" customHeight="1" thickBot="1">
      <c r="A63" s="14"/>
      <c r="B63" s="15"/>
      <c r="C63" s="16">
        <f>SUM(C59:C62)</f>
        <v>0</v>
      </c>
      <c r="D63" s="16">
        <f>+COUNT(C59:C62)*2</f>
        <v>0</v>
      </c>
      <c r="E63" s="11" t="str">
        <f>+IF(C60="","",C63/D63)</f>
        <v/>
      </c>
    </row>
    <row r="64" spans="1:5" ht="23.15" customHeight="1">
      <c r="A64" s="34" t="s">
        <v>6</v>
      </c>
      <c r="B64" s="33" t="s">
        <v>99</v>
      </c>
    </row>
    <row r="65" spans="1:5" ht="23.15" customHeight="1">
      <c r="A65" s="34" t="s">
        <v>100</v>
      </c>
      <c r="B65" s="33" t="s">
        <v>101</v>
      </c>
    </row>
    <row r="66" spans="1:5" ht="28" customHeight="1">
      <c r="A66" s="6">
        <f>1+A62</f>
        <v>39</v>
      </c>
      <c r="B66" s="7" t="s">
        <v>84</v>
      </c>
      <c r="C66" s="6"/>
      <c r="D66" s="8" t="str">
        <f t="shared" ref="D66:D70" si="15">+IF(C66="","",+IF(C66=0,"No Cumple",+IF(C66=1,"Cumple Parcial",+IF(C66=2,"Cumple Completo",+IF(C66="N","NA")))))</f>
        <v/>
      </c>
      <c r="E66" s="39"/>
    </row>
    <row r="67" spans="1:5" ht="28" customHeight="1">
      <c r="A67" s="6">
        <f>1+A66</f>
        <v>40</v>
      </c>
      <c r="B67" s="7" t="s">
        <v>102</v>
      </c>
      <c r="C67" s="6"/>
      <c r="D67" s="8" t="str">
        <f t="shared" ref="D67:D68" si="16">+IF(C67="","",+IF(C67=0,"No Cumple",+IF(C67=1,"Cumple Parcial",+IF(C67=2,"Cumple Completo",+IF(C67="N","NA")))))</f>
        <v/>
      </c>
      <c r="E67" s="39"/>
    </row>
    <row r="68" spans="1:5" ht="28" customHeight="1">
      <c r="A68" s="6">
        <f t="shared" ref="A68:A69" si="17">1+A67</f>
        <v>41</v>
      </c>
      <c r="B68" s="7" t="s">
        <v>103</v>
      </c>
      <c r="C68" s="6"/>
      <c r="D68" s="8" t="str">
        <f t="shared" si="16"/>
        <v/>
      </c>
      <c r="E68" s="39"/>
    </row>
    <row r="69" spans="1:5" ht="29.15" customHeight="1">
      <c r="A69" s="6">
        <f t="shared" si="17"/>
        <v>42</v>
      </c>
      <c r="B69" s="7" t="s">
        <v>104</v>
      </c>
      <c r="C69" s="6"/>
      <c r="D69" s="8" t="str">
        <f t="shared" si="15"/>
        <v/>
      </c>
      <c r="E69" s="39"/>
    </row>
    <row r="70" spans="1:5" ht="29.15" customHeight="1">
      <c r="A70" s="6">
        <f t="shared" ref="A70" si="18">1+A69</f>
        <v>43</v>
      </c>
      <c r="B70" s="7" t="s">
        <v>105</v>
      </c>
      <c r="C70" s="6"/>
      <c r="D70" s="8" t="str">
        <f t="shared" si="15"/>
        <v/>
      </c>
      <c r="E70" s="39"/>
    </row>
    <row r="71" spans="1:5" ht="29.15" customHeight="1" thickBot="1">
      <c r="A71" s="12"/>
      <c r="B71" s="13"/>
      <c r="C71" s="16">
        <f>SUM(C66:C70)</f>
        <v>0</v>
      </c>
      <c r="D71" s="16">
        <f>+COUNT(C66:C70)*2</f>
        <v>0</v>
      </c>
      <c r="E71" s="11" t="str">
        <f>+IF(C66="","",C71/D71)</f>
        <v/>
      </c>
    </row>
    <row r="72" spans="1:5" ht="23.15" customHeight="1">
      <c r="A72" s="34" t="s">
        <v>106</v>
      </c>
      <c r="B72" s="33" t="s">
        <v>107</v>
      </c>
    </row>
    <row r="73" spans="1:5" ht="30" customHeight="1">
      <c r="A73" s="6">
        <f>1+A70</f>
        <v>44</v>
      </c>
      <c r="B73" s="7" t="s">
        <v>108</v>
      </c>
      <c r="C73" s="6"/>
      <c r="D73" s="8" t="str">
        <f t="shared" ref="D73:D76" si="19">+IF(C73="","",+IF(C73=0,"No Cumple",+IF(C73=1,"Cumple Parcial",+IF(C73=2,"Cumple Completo",+IF(C73="N","NA")))))</f>
        <v/>
      </c>
      <c r="E73" s="39"/>
    </row>
    <row r="74" spans="1:5" ht="30" customHeight="1">
      <c r="A74" s="6">
        <f>1+A73</f>
        <v>45</v>
      </c>
      <c r="B74" s="7" t="s">
        <v>109</v>
      </c>
      <c r="C74" s="6"/>
      <c r="D74" s="8" t="str">
        <f t="shared" ref="D74:D75" si="20">+IF(C74="","",+IF(C74=0,"No Cumple",+IF(C74=1,"Cumple Parcial",+IF(C74=2,"Cumple Completo",+IF(C74="N","NA")))))</f>
        <v/>
      </c>
      <c r="E74" s="39"/>
    </row>
    <row r="75" spans="1:5" ht="30" customHeight="1">
      <c r="A75" s="6">
        <f>1+A74</f>
        <v>46</v>
      </c>
      <c r="B75" s="7" t="s">
        <v>110</v>
      </c>
      <c r="C75" s="6"/>
      <c r="D75" s="8" t="str">
        <f t="shared" si="20"/>
        <v/>
      </c>
      <c r="E75" s="39"/>
    </row>
    <row r="76" spans="1:5" ht="30" customHeight="1">
      <c r="A76" s="6">
        <f t="shared" ref="A76" si="21">1+A75</f>
        <v>47</v>
      </c>
      <c r="B76" s="7" t="s">
        <v>111</v>
      </c>
      <c r="C76" s="6"/>
      <c r="D76" s="8" t="str">
        <f t="shared" si="19"/>
        <v/>
      </c>
      <c r="E76" s="39"/>
    </row>
    <row r="77" spans="1:5" ht="30" customHeight="1" thickBot="1">
      <c r="A77" s="14"/>
      <c r="B77" s="15"/>
      <c r="C77" s="16">
        <f>SUM(C73:C76)</f>
        <v>0</v>
      </c>
      <c r="D77" s="16">
        <f>+COUNT(C73:C76)*2</f>
        <v>0</v>
      </c>
      <c r="E77" s="11" t="str">
        <f>+IF(C74="","",C77/D77)</f>
        <v/>
      </c>
    </row>
    <row r="78" spans="1:5" ht="23.15" customHeight="1">
      <c r="A78" s="34" t="s">
        <v>8</v>
      </c>
      <c r="B78" s="33" t="s">
        <v>112</v>
      </c>
    </row>
    <row r="79" spans="1:5" ht="31">
      <c r="A79" s="6">
        <f>1+A76</f>
        <v>48</v>
      </c>
      <c r="B79" s="7" t="s">
        <v>113</v>
      </c>
      <c r="C79" s="6"/>
      <c r="D79" s="8" t="str">
        <f t="shared" ref="D79:D85" si="22">+IF(C79="","",+IF(C79=0,"No Cumple",+IF(C79=1,"Cumple Parcial",+IF(C79=2,"Cumple Completo",+IF(C79="N","NA")))))</f>
        <v/>
      </c>
      <c r="E79" s="39"/>
    </row>
    <row r="80" spans="1:5" ht="29.15" customHeight="1">
      <c r="A80" s="6">
        <f>1+A79</f>
        <v>49</v>
      </c>
      <c r="B80" s="7" t="s">
        <v>114</v>
      </c>
      <c r="C80" s="19"/>
      <c r="D80" s="8" t="str">
        <f t="shared" si="22"/>
        <v/>
      </c>
      <c r="E80" s="39"/>
    </row>
    <row r="81" spans="1:7" ht="28" customHeight="1">
      <c r="A81" s="6">
        <f t="shared" ref="A81:A85" si="23">1+A80</f>
        <v>50</v>
      </c>
      <c r="B81" s="7" t="s">
        <v>115</v>
      </c>
      <c r="C81" s="19"/>
      <c r="D81" s="8" t="str">
        <f t="shared" si="22"/>
        <v/>
      </c>
      <c r="E81" s="39"/>
    </row>
    <row r="82" spans="1:7" ht="28" customHeight="1">
      <c r="A82" s="6">
        <f t="shared" si="23"/>
        <v>51</v>
      </c>
      <c r="B82" s="7" t="s">
        <v>116</v>
      </c>
      <c r="C82" s="19"/>
      <c r="D82" s="8" t="str">
        <f t="shared" si="22"/>
        <v/>
      </c>
      <c r="E82" s="39"/>
    </row>
    <row r="83" spans="1:7" ht="31">
      <c r="A83" s="6">
        <f t="shared" si="23"/>
        <v>52</v>
      </c>
      <c r="B83" s="7" t="s">
        <v>256</v>
      </c>
      <c r="C83" s="19"/>
      <c r="D83" s="8" t="str">
        <f t="shared" si="22"/>
        <v/>
      </c>
      <c r="E83" s="39"/>
    </row>
    <row r="84" spans="1:7" ht="29.15" customHeight="1">
      <c r="A84" s="6">
        <f t="shared" si="23"/>
        <v>53</v>
      </c>
      <c r="B84" s="7" t="s">
        <v>117</v>
      </c>
      <c r="C84" s="19"/>
      <c r="D84" s="8" t="str">
        <f t="shared" si="22"/>
        <v/>
      </c>
      <c r="E84" s="39"/>
    </row>
    <row r="85" spans="1:7" ht="28" customHeight="1">
      <c r="A85" s="6">
        <f t="shared" si="23"/>
        <v>54</v>
      </c>
      <c r="B85" s="7" t="s">
        <v>118</v>
      </c>
      <c r="C85" s="6"/>
      <c r="D85" s="8" t="str">
        <f t="shared" si="22"/>
        <v/>
      </c>
      <c r="E85" s="39"/>
    </row>
    <row r="86" spans="1:7" ht="30" customHeight="1" thickBot="1">
      <c r="A86" s="14"/>
      <c r="B86" s="15"/>
      <c r="C86" s="16">
        <f>SUM(C79:C85)</f>
        <v>0</v>
      </c>
      <c r="D86" s="16">
        <f>+COUNT(C79:C85)*2</f>
        <v>0</v>
      </c>
      <c r="E86" s="11" t="str">
        <f>+IF(C79="","",C86/D86)</f>
        <v/>
      </c>
      <c r="G86" s="29" t="str">
        <f>IFERROR(+AVERAGE(E57,E63,E71,E77,E86),"")</f>
        <v/>
      </c>
    </row>
    <row r="87" spans="1:7" ht="23.15" customHeight="1">
      <c r="A87" s="35">
        <v>6</v>
      </c>
      <c r="B87" s="32" t="s">
        <v>20</v>
      </c>
    </row>
    <row r="88" spans="1:7" ht="23.15" customHeight="1">
      <c r="A88" s="34" t="s">
        <v>11</v>
      </c>
      <c r="B88" s="33" t="s">
        <v>119</v>
      </c>
    </row>
    <row r="89" spans="1:7" ht="23.15" customHeight="1">
      <c r="A89" s="34" t="s">
        <v>120</v>
      </c>
      <c r="B89" s="33" t="s">
        <v>121</v>
      </c>
    </row>
    <row r="90" spans="1:7" ht="31">
      <c r="A90" s="6">
        <f>1+A85</f>
        <v>55</v>
      </c>
      <c r="B90" s="7" t="s">
        <v>122</v>
      </c>
      <c r="C90" s="6"/>
      <c r="D90" s="8" t="str">
        <f t="shared" ref="D90" si="24">+IF(C90="","",+IF(C90=0,"No Cumple",+IF(C90=1,"Cumple Parcial",+IF(C90=2,"Cumple Completo",+IF(C90="N","NA")))))</f>
        <v/>
      </c>
      <c r="E90" s="39"/>
    </row>
    <row r="91" spans="1:7" ht="30" customHeight="1">
      <c r="A91" s="6">
        <f>1+A90</f>
        <v>56</v>
      </c>
      <c r="B91" s="7" t="s">
        <v>123</v>
      </c>
      <c r="C91" s="6"/>
      <c r="D91" s="8" t="str">
        <f t="shared" ref="D91:D94" si="25">+IF(C91="","",+IF(C91=0,"No Cumple",+IF(C91=1,"Cumple Parcial",+IF(C91=2,"Cumple Completo",+IF(C91="N","NA")))))</f>
        <v/>
      </c>
      <c r="E91" s="39"/>
    </row>
    <row r="92" spans="1:7" ht="30" customHeight="1">
      <c r="A92" s="6">
        <f t="shared" ref="A92:A93" si="26">1+A91</f>
        <v>57</v>
      </c>
      <c r="B92" s="7" t="s">
        <v>124</v>
      </c>
      <c r="C92" s="6"/>
      <c r="D92" s="8" t="str">
        <f t="shared" si="25"/>
        <v/>
      </c>
      <c r="E92" s="39"/>
    </row>
    <row r="93" spans="1:7" ht="30" customHeight="1">
      <c r="A93" s="6">
        <f t="shared" si="26"/>
        <v>58</v>
      </c>
      <c r="B93" s="7" t="s">
        <v>126</v>
      </c>
      <c r="C93" s="6"/>
      <c r="D93" s="8" t="str">
        <f t="shared" si="25"/>
        <v/>
      </c>
      <c r="E93" s="39"/>
    </row>
    <row r="94" spans="1:7" ht="30" customHeight="1">
      <c r="A94" s="6">
        <f t="shared" ref="A94" si="27">1+A93</f>
        <v>59</v>
      </c>
      <c r="B94" s="7" t="s">
        <v>125</v>
      </c>
      <c r="C94" s="6"/>
      <c r="D94" s="8" t="str">
        <f t="shared" si="25"/>
        <v/>
      </c>
      <c r="E94" s="39"/>
    </row>
    <row r="95" spans="1:7" ht="30" customHeight="1" thickBot="1">
      <c r="A95" s="14"/>
      <c r="B95" s="15"/>
      <c r="C95" s="16">
        <f>SUM(C90:C94)</f>
        <v>0</v>
      </c>
      <c r="D95" s="16">
        <f>+COUNT(C90:C94)*2</f>
        <v>0</v>
      </c>
      <c r="E95" s="11" t="str">
        <f>+IF(C90="","",C95/D95)</f>
        <v/>
      </c>
    </row>
    <row r="96" spans="1:7" ht="23.15" customHeight="1">
      <c r="A96" s="34" t="s">
        <v>127</v>
      </c>
      <c r="B96" s="33" t="s">
        <v>128</v>
      </c>
    </row>
    <row r="97" spans="1:5" ht="30" customHeight="1">
      <c r="A97" s="6">
        <f>1+A94</f>
        <v>60</v>
      </c>
      <c r="B97" s="7" t="s">
        <v>129</v>
      </c>
      <c r="C97" s="6"/>
      <c r="D97" s="8" t="str">
        <f t="shared" ref="D97:D101" si="28">+IF(C97="","",+IF(C97=0,"No Cumple",+IF(C97=1,"Cumple Parcial",+IF(C97=2,"Cumple Completo",+IF(C97="N","NA")))))</f>
        <v/>
      </c>
      <c r="E97" s="39"/>
    </row>
    <row r="98" spans="1:5" ht="30" customHeight="1">
      <c r="A98" s="6">
        <f>1+A97</f>
        <v>61</v>
      </c>
      <c r="B98" s="7" t="s">
        <v>130</v>
      </c>
      <c r="C98" s="6"/>
      <c r="D98" s="8" t="str">
        <f t="shared" si="28"/>
        <v/>
      </c>
      <c r="E98" s="39"/>
    </row>
    <row r="99" spans="1:5" ht="30" customHeight="1">
      <c r="A99" s="6">
        <f t="shared" ref="A99:A101" si="29">1+A98</f>
        <v>62</v>
      </c>
      <c r="B99" s="7" t="s">
        <v>257</v>
      </c>
      <c r="C99" s="6"/>
      <c r="D99" s="8" t="str">
        <f t="shared" si="28"/>
        <v/>
      </c>
      <c r="E99" s="39"/>
    </row>
    <row r="100" spans="1:5" ht="30" customHeight="1">
      <c r="A100" s="6">
        <f t="shared" si="29"/>
        <v>63</v>
      </c>
      <c r="B100" s="7" t="s">
        <v>131</v>
      </c>
      <c r="C100" s="19"/>
      <c r="D100" s="8" t="str">
        <f t="shared" si="28"/>
        <v/>
      </c>
      <c r="E100" s="39"/>
    </row>
    <row r="101" spans="1:5" ht="31">
      <c r="A101" s="6">
        <f t="shared" si="29"/>
        <v>64</v>
      </c>
      <c r="B101" s="7" t="s">
        <v>132</v>
      </c>
      <c r="C101" s="6"/>
      <c r="D101" s="8" t="str">
        <f t="shared" si="28"/>
        <v/>
      </c>
      <c r="E101" s="39" t="s">
        <v>55</v>
      </c>
    </row>
    <row r="102" spans="1:5" ht="29.15" customHeight="1" thickBot="1">
      <c r="A102" s="14"/>
      <c r="B102" s="15"/>
      <c r="C102" s="16">
        <f>SUM(C97:C101)</f>
        <v>0</v>
      </c>
      <c r="D102" s="16">
        <f>+COUNT(C97:C101)*2</f>
        <v>0</v>
      </c>
      <c r="E102" s="11" t="str">
        <f>+IF(C97="","",C102/D102)</f>
        <v/>
      </c>
    </row>
    <row r="103" spans="1:5" ht="23.15" customHeight="1">
      <c r="A103" s="34" t="s">
        <v>13</v>
      </c>
      <c r="B103" s="33" t="s">
        <v>133</v>
      </c>
    </row>
    <row r="104" spans="1:5" ht="23.15" customHeight="1">
      <c r="A104" s="34" t="s">
        <v>12</v>
      </c>
      <c r="B104" s="33" t="s">
        <v>134</v>
      </c>
    </row>
    <row r="105" spans="1:5" ht="31">
      <c r="A105" s="6">
        <f>1+A101</f>
        <v>65</v>
      </c>
      <c r="B105" s="7" t="s">
        <v>135</v>
      </c>
      <c r="C105" s="6"/>
      <c r="D105" s="8" t="str">
        <f t="shared" ref="D105:D114" si="30">+IF(C105="","",+IF(C105=0,"No Cumple",+IF(C105=1,"Cumple Parcial",+IF(C105=2,"Cumple Completo",+IF(C105="N","NA")))))</f>
        <v/>
      </c>
      <c r="E105" s="39"/>
    </row>
    <row r="106" spans="1:5" ht="29.15" customHeight="1">
      <c r="A106" s="6">
        <f>1+A105</f>
        <v>66</v>
      </c>
      <c r="B106" s="7" t="s">
        <v>136</v>
      </c>
      <c r="C106" s="19"/>
      <c r="D106" s="8" t="str">
        <f t="shared" si="30"/>
        <v/>
      </c>
      <c r="E106" s="39"/>
    </row>
    <row r="107" spans="1:5" ht="29.15" customHeight="1">
      <c r="A107" s="6">
        <f t="shared" ref="A107:A114" si="31">1+A106</f>
        <v>67</v>
      </c>
      <c r="B107" s="7" t="s">
        <v>137</v>
      </c>
      <c r="C107" s="19"/>
      <c r="D107" s="8" t="str">
        <f t="shared" si="30"/>
        <v/>
      </c>
      <c r="E107" s="39"/>
    </row>
    <row r="108" spans="1:5" ht="29.15" customHeight="1">
      <c r="A108" s="6">
        <f t="shared" si="31"/>
        <v>68</v>
      </c>
      <c r="B108" s="7" t="s">
        <v>138</v>
      </c>
      <c r="C108" s="19"/>
      <c r="D108" s="8" t="str">
        <f t="shared" si="30"/>
        <v/>
      </c>
      <c r="E108" s="39"/>
    </row>
    <row r="109" spans="1:5" ht="29.15" customHeight="1">
      <c r="A109" s="6">
        <f t="shared" si="31"/>
        <v>69</v>
      </c>
      <c r="B109" s="7" t="s">
        <v>139</v>
      </c>
      <c r="C109" s="19"/>
      <c r="D109" s="8" t="str">
        <f t="shared" si="30"/>
        <v/>
      </c>
      <c r="E109" s="39"/>
    </row>
    <row r="110" spans="1:5" ht="28" customHeight="1">
      <c r="A110" s="6">
        <f t="shared" si="31"/>
        <v>70</v>
      </c>
      <c r="B110" s="7" t="s">
        <v>140</v>
      </c>
      <c r="C110" s="19"/>
      <c r="D110" s="8" t="str">
        <f t="shared" si="30"/>
        <v/>
      </c>
      <c r="E110" s="39"/>
    </row>
    <row r="111" spans="1:5" ht="29.15" customHeight="1">
      <c r="A111" s="6">
        <f t="shared" si="31"/>
        <v>71</v>
      </c>
      <c r="B111" s="7" t="s">
        <v>141</v>
      </c>
      <c r="C111" s="19"/>
      <c r="D111" s="8" t="str">
        <f t="shared" si="30"/>
        <v/>
      </c>
      <c r="E111" s="39"/>
    </row>
    <row r="112" spans="1:5" ht="29.15" customHeight="1">
      <c r="A112" s="6">
        <f t="shared" si="31"/>
        <v>72</v>
      </c>
      <c r="B112" s="7" t="s">
        <v>142</v>
      </c>
      <c r="C112" s="19"/>
      <c r="D112" s="8" t="str">
        <f t="shared" si="30"/>
        <v/>
      </c>
      <c r="E112" s="39"/>
    </row>
    <row r="113" spans="1:5" ht="29.15" customHeight="1">
      <c r="A113" s="6">
        <f t="shared" si="31"/>
        <v>73</v>
      </c>
      <c r="B113" s="31" t="s">
        <v>143</v>
      </c>
      <c r="C113" s="19"/>
      <c r="D113" s="8" t="str">
        <f t="shared" si="30"/>
        <v/>
      </c>
      <c r="E113" s="39"/>
    </row>
    <row r="114" spans="1:5" ht="28" customHeight="1">
      <c r="A114" s="6">
        <f t="shared" si="31"/>
        <v>74</v>
      </c>
      <c r="B114" s="7" t="s">
        <v>144</v>
      </c>
      <c r="C114" s="6"/>
      <c r="D114" s="8" t="str">
        <f t="shared" si="30"/>
        <v/>
      </c>
      <c r="E114" s="39"/>
    </row>
    <row r="115" spans="1:5" ht="29.15" customHeight="1" thickBot="1">
      <c r="A115" s="12"/>
      <c r="B115" s="18"/>
      <c r="C115" s="16">
        <f>+SUM(C105:C114)</f>
        <v>0</v>
      </c>
      <c r="D115" s="16">
        <f>+COUNT(C105:C114)*2</f>
        <v>0</v>
      </c>
      <c r="E115" s="11" t="str">
        <f>+IF(C105="","",C115/D115)</f>
        <v/>
      </c>
    </row>
    <row r="116" spans="1:5" ht="23.15" customHeight="1">
      <c r="A116" s="34" t="s">
        <v>14</v>
      </c>
      <c r="B116" s="33" t="s">
        <v>145</v>
      </c>
    </row>
    <row r="117" spans="1:5" ht="28" customHeight="1">
      <c r="A117" s="6">
        <f>1+A114</f>
        <v>75</v>
      </c>
      <c r="B117" s="7" t="s">
        <v>146</v>
      </c>
      <c r="C117" s="6"/>
      <c r="D117" s="8" t="str">
        <f t="shared" ref="D117:D122" si="32">+IF(C117="","",+IF(C117=0,"No Cumple",+IF(C117=1,"Cumple Parcial",+IF(C117=2,"Cumple Completo",+IF(C117="N","NA")))))</f>
        <v/>
      </c>
      <c r="E117" s="39"/>
    </row>
    <row r="118" spans="1:5" ht="30" customHeight="1">
      <c r="A118" s="6">
        <f>1+A117</f>
        <v>76</v>
      </c>
      <c r="B118" s="7" t="s">
        <v>147</v>
      </c>
      <c r="C118" s="19"/>
      <c r="D118" s="8" t="str">
        <f t="shared" si="32"/>
        <v/>
      </c>
      <c r="E118" s="39"/>
    </row>
    <row r="119" spans="1:5" ht="30" customHeight="1">
      <c r="A119" s="6">
        <f t="shared" ref="A119:A122" si="33">1+A118</f>
        <v>77</v>
      </c>
      <c r="B119" s="7" t="s">
        <v>148</v>
      </c>
      <c r="C119" s="19"/>
      <c r="D119" s="8" t="str">
        <f t="shared" si="32"/>
        <v/>
      </c>
      <c r="E119" s="39"/>
    </row>
    <row r="120" spans="1:5" ht="30" customHeight="1">
      <c r="A120" s="6">
        <f t="shared" si="33"/>
        <v>78</v>
      </c>
      <c r="B120" s="7" t="s">
        <v>149</v>
      </c>
      <c r="C120" s="19"/>
      <c r="D120" s="8" t="str">
        <f t="shared" si="32"/>
        <v/>
      </c>
      <c r="E120" s="39"/>
    </row>
    <row r="121" spans="1:5" ht="30" customHeight="1">
      <c r="A121" s="6">
        <f t="shared" si="33"/>
        <v>79</v>
      </c>
      <c r="B121" s="7" t="s">
        <v>150</v>
      </c>
      <c r="C121" s="19"/>
      <c r="D121" s="8" t="str">
        <f t="shared" si="32"/>
        <v/>
      </c>
      <c r="E121" s="39"/>
    </row>
    <row r="122" spans="1:5" ht="30" customHeight="1">
      <c r="A122" s="6">
        <f t="shared" si="33"/>
        <v>80</v>
      </c>
      <c r="B122" s="7" t="s">
        <v>151</v>
      </c>
      <c r="C122" s="6"/>
      <c r="D122" s="8" t="str">
        <f t="shared" si="32"/>
        <v/>
      </c>
      <c r="E122" s="39"/>
    </row>
    <row r="123" spans="1:5" ht="29.15" customHeight="1" thickBot="1">
      <c r="A123" s="12"/>
      <c r="B123" s="13"/>
      <c r="C123" s="16">
        <f>SUM(C117:C122)</f>
        <v>0</v>
      </c>
      <c r="D123" s="16">
        <f>+COUNT(C117:C122)*2</f>
        <v>0</v>
      </c>
      <c r="E123" s="11" t="str">
        <f>+IF(C118="","",C123/D123)</f>
        <v/>
      </c>
    </row>
    <row r="124" spans="1:5" ht="23.15" customHeight="1">
      <c r="A124" s="34" t="s">
        <v>15</v>
      </c>
      <c r="B124" s="33" t="s">
        <v>152</v>
      </c>
    </row>
    <row r="125" spans="1:5" ht="31">
      <c r="A125" s="6">
        <f>1+A122</f>
        <v>81</v>
      </c>
      <c r="B125" s="7" t="s">
        <v>258</v>
      </c>
      <c r="C125" s="6"/>
      <c r="D125" s="8" t="str">
        <f t="shared" ref="D125:D130" si="34">+IF(C125="","",+IF(C125=0,"No Cumple",+IF(C125=1,"Cumple Parcial",+IF(C125=2,"Cumple Completo",+IF(C125="N","NA")))))</f>
        <v/>
      </c>
      <c r="E125" s="39" t="s">
        <v>55</v>
      </c>
    </row>
    <row r="126" spans="1:5" ht="30" customHeight="1">
      <c r="A126" s="6">
        <f>1+A125</f>
        <v>82</v>
      </c>
      <c r="B126" s="7" t="s">
        <v>153</v>
      </c>
      <c r="C126" s="6"/>
      <c r="D126" s="8" t="str">
        <f t="shared" si="34"/>
        <v/>
      </c>
      <c r="E126" s="39"/>
    </row>
    <row r="127" spans="1:5" ht="30" customHeight="1">
      <c r="A127" s="6">
        <f t="shared" ref="A127:A129" si="35">1+A126</f>
        <v>83</v>
      </c>
      <c r="B127" s="7" t="s">
        <v>154</v>
      </c>
      <c r="C127" s="6"/>
      <c r="D127" s="8" t="str">
        <f t="shared" si="34"/>
        <v/>
      </c>
      <c r="E127" s="39"/>
    </row>
    <row r="128" spans="1:5" ht="30" customHeight="1">
      <c r="A128" s="6">
        <f t="shared" si="35"/>
        <v>84</v>
      </c>
      <c r="B128" s="7" t="s">
        <v>155</v>
      </c>
      <c r="C128" s="6"/>
      <c r="D128" s="8" t="str">
        <f t="shared" si="34"/>
        <v/>
      </c>
      <c r="E128" s="39"/>
    </row>
    <row r="129" spans="1:7" ht="30" customHeight="1">
      <c r="A129" s="6">
        <f t="shared" si="35"/>
        <v>85</v>
      </c>
      <c r="B129" s="7" t="s">
        <v>156</v>
      </c>
      <c r="C129" s="6"/>
      <c r="D129" s="8" t="str">
        <f t="shared" si="34"/>
        <v/>
      </c>
      <c r="E129" s="39"/>
    </row>
    <row r="130" spans="1:7" ht="30" customHeight="1">
      <c r="A130" s="6">
        <f>1+A129</f>
        <v>86</v>
      </c>
      <c r="B130" s="7" t="s">
        <v>157</v>
      </c>
      <c r="C130" s="6"/>
      <c r="D130" s="8" t="str">
        <f t="shared" si="34"/>
        <v/>
      </c>
      <c r="E130" s="39"/>
    </row>
    <row r="131" spans="1:7" ht="29.15" customHeight="1" thickBot="1">
      <c r="A131" s="12"/>
      <c r="B131" s="18"/>
      <c r="C131" s="16">
        <f>SUM(C125:C130)</f>
        <v>0</v>
      </c>
      <c r="D131" s="16">
        <f>+COUNT(C125:C130)*2</f>
        <v>0</v>
      </c>
      <c r="E131" s="11" t="str">
        <f>+IF(C125="","",C131/D131)</f>
        <v/>
      </c>
      <c r="G131" s="29" t="str">
        <f>+IFERROR(+AVERAGE(E95,E102,E115,E123,E131),"")</f>
        <v/>
      </c>
    </row>
    <row r="132" spans="1:7" ht="23.15" customHeight="1">
      <c r="A132" s="35">
        <v>7</v>
      </c>
      <c r="B132" s="32" t="s">
        <v>158</v>
      </c>
    </row>
    <row r="133" spans="1:7" ht="23.15" customHeight="1">
      <c r="A133" s="34" t="s">
        <v>16</v>
      </c>
      <c r="B133" s="33" t="s">
        <v>159</v>
      </c>
    </row>
    <row r="134" spans="1:7" ht="23.15" customHeight="1">
      <c r="A134" s="34" t="s">
        <v>160</v>
      </c>
      <c r="B134" s="33" t="s">
        <v>10</v>
      </c>
    </row>
    <row r="135" spans="1:7" ht="31">
      <c r="A135" s="6">
        <f>1+A130</f>
        <v>87</v>
      </c>
      <c r="B135" s="7" t="s">
        <v>161</v>
      </c>
      <c r="C135" s="6"/>
      <c r="D135" s="8" t="str">
        <f t="shared" ref="D135:D138" si="36">+IF(C135="","",+IF(C135=0,"No Cumple",+IF(C135=1,"Cumple Parcial",+IF(C135=2,"Cumple Completo",+IF(C135="N","NA")))))</f>
        <v/>
      </c>
      <c r="E135" s="39"/>
    </row>
    <row r="136" spans="1:7" ht="30" customHeight="1">
      <c r="A136" s="6">
        <f>1+A135</f>
        <v>88</v>
      </c>
      <c r="B136" s="7" t="s">
        <v>153</v>
      </c>
      <c r="C136" s="19"/>
      <c r="D136" s="8" t="str">
        <f t="shared" si="36"/>
        <v/>
      </c>
      <c r="E136" s="39"/>
    </row>
    <row r="137" spans="1:7" ht="30" customHeight="1">
      <c r="A137" s="6">
        <f t="shared" ref="A137:A138" si="37">1+A136</f>
        <v>89</v>
      </c>
      <c r="B137" s="7" t="s">
        <v>162</v>
      </c>
      <c r="C137" s="19"/>
      <c r="D137" s="8" t="str">
        <f t="shared" si="36"/>
        <v/>
      </c>
      <c r="E137" s="39"/>
    </row>
    <row r="138" spans="1:7" ht="30" customHeight="1">
      <c r="A138" s="6">
        <f t="shared" si="37"/>
        <v>90</v>
      </c>
      <c r="B138" s="7" t="s">
        <v>163</v>
      </c>
      <c r="C138" s="6"/>
      <c r="D138" s="8" t="str">
        <f t="shared" si="36"/>
        <v/>
      </c>
      <c r="E138" s="39"/>
    </row>
    <row r="139" spans="1:7" ht="29.15" customHeight="1" thickBot="1">
      <c r="C139" s="16">
        <f>SUM(C135:C138)</f>
        <v>0</v>
      </c>
      <c r="D139" s="16">
        <f>+COUNT(C135:C138)*2</f>
        <v>0</v>
      </c>
      <c r="E139" s="11" t="str">
        <f>+IF(C135="","",C139/D139)</f>
        <v/>
      </c>
    </row>
    <row r="140" spans="1:7" ht="23.15" customHeight="1">
      <c r="A140" s="34" t="s">
        <v>164</v>
      </c>
      <c r="B140" s="33" t="s">
        <v>165</v>
      </c>
    </row>
    <row r="141" spans="1:7" ht="31">
      <c r="A141" s="6">
        <f>1+A138</f>
        <v>91</v>
      </c>
      <c r="B141" s="7" t="s">
        <v>166</v>
      </c>
      <c r="C141" s="6"/>
      <c r="D141" s="8" t="str">
        <f t="shared" ref="D141" si="38">+IF(C141="","",+IF(C141=0,"No Cumple",+IF(C141=1,"Cumple Parcial",+IF(C141=2,"Cumple Completo",+IF(C141="N","NA")))))</f>
        <v/>
      </c>
      <c r="E141" s="39"/>
    </row>
    <row r="142" spans="1:7" ht="29.15" customHeight="1" thickBot="1">
      <c r="A142" s="12"/>
      <c r="B142" s="13"/>
      <c r="C142" s="16">
        <f>SUM(C141:C141)</f>
        <v>0</v>
      </c>
      <c r="D142" s="16">
        <f>+COUNT(C141:C141)*2</f>
        <v>0</v>
      </c>
      <c r="E142" s="11" t="str">
        <f>+IF(C141="","",C142/D142)</f>
        <v/>
      </c>
    </row>
    <row r="143" spans="1:7" ht="23.15" customHeight="1">
      <c r="A143" s="34" t="s">
        <v>167</v>
      </c>
      <c r="B143" s="33" t="s">
        <v>18</v>
      </c>
    </row>
    <row r="144" spans="1:7" ht="31">
      <c r="A144" s="6">
        <f>1+A141</f>
        <v>92</v>
      </c>
      <c r="B144" s="7" t="s">
        <v>168</v>
      </c>
      <c r="C144" s="6"/>
      <c r="D144" s="8" t="str">
        <f t="shared" ref="D144:D149" si="39">+IF(C144="","",+IF(C144=0,"No Cumple",+IF(C144=1,"Cumple Parcial",+IF(C144=2,"Cumple Completo",+IF(C144="N","NA")))))</f>
        <v/>
      </c>
      <c r="E144" s="39"/>
    </row>
    <row r="145" spans="1:5" ht="30" customHeight="1">
      <c r="A145" s="6">
        <f>1+A144</f>
        <v>93</v>
      </c>
      <c r="B145" s="7" t="s">
        <v>169</v>
      </c>
      <c r="C145" s="6"/>
      <c r="D145" s="8" t="str">
        <f t="shared" ref="D145:D148" si="40">+IF(C145="","",+IF(C145=0,"No Cumple",+IF(C145=1,"Cumple Parcial",+IF(C145=2,"Cumple Completo",+IF(C145="N","NA")))))</f>
        <v/>
      </c>
      <c r="E145" s="39"/>
    </row>
    <row r="146" spans="1:5" ht="30" customHeight="1">
      <c r="A146" s="6">
        <f t="shared" ref="A146:A149" si="41">1+A145</f>
        <v>94</v>
      </c>
      <c r="B146" s="7" t="s">
        <v>170</v>
      </c>
      <c r="C146" s="6"/>
      <c r="D146" s="8" t="str">
        <f t="shared" si="40"/>
        <v/>
      </c>
      <c r="E146" s="39"/>
    </row>
    <row r="147" spans="1:5" ht="30" customHeight="1">
      <c r="A147" s="6">
        <f t="shared" si="41"/>
        <v>95</v>
      </c>
      <c r="B147" s="7" t="s">
        <v>171</v>
      </c>
      <c r="C147" s="6"/>
      <c r="D147" s="8" t="str">
        <f t="shared" si="40"/>
        <v/>
      </c>
      <c r="E147" s="39"/>
    </row>
    <row r="148" spans="1:5" ht="30" customHeight="1">
      <c r="A148" s="6">
        <f t="shared" si="41"/>
        <v>96</v>
      </c>
      <c r="B148" s="7" t="s">
        <v>172</v>
      </c>
      <c r="C148" s="6"/>
      <c r="D148" s="8" t="str">
        <f t="shared" si="40"/>
        <v/>
      </c>
      <c r="E148" s="39"/>
    </row>
    <row r="149" spans="1:5" ht="30" customHeight="1">
      <c r="A149" s="6">
        <f t="shared" si="41"/>
        <v>97</v>
      </c>
      <c r="B149" s="7" t="s">
        <v>173</v>
      </c>
      <c r="C149" s="6"/>
      <c r="D149" s="8" t="str">
        <f t="shared" si="39"/>
        <v/>
      </c>
      <c r="E149" s="39"/>
    </row>
    <row r="150" spans="1:5" ht="29.15" customHeight="1" thickBot="1">
      <c r="A150" s="12"/>
      <c r="B150" s="18"/>
      <c r="C150" s="16">
        <f>SUM(C144:C149)</f>
        <v>0</v>
      </c>
      <c r="D150" s="16">
        <f>+COUNT(C144:C149)*2</f>
        <v>0</v>
      </c>
      <c r="E150" s="11" t="str">
        <f>+IF(C144="","",C150/D150)</f>
        <v/>
      </c>
    </row>
    <row r="151" spans="1:5" ht="23.15" customHeight="1">
      <c r="A151" s="34" t="s">
        <v>174</v>
      </c>
      <c r="B151" s="33" t="s">
        <v>175</v>
      </c>
    </row>
    <row r="152" spans="1:5" ht="31">
      <c r="A152" s="6">
        <f>1+A149</f>
        <v>98</v>
      </c>
      <c r="B152" s="7" t="s">
        <v>541</v>
      </c>
      <c r="C152" s="6"/>
      <c r="D152" s="8" t="str">
        <f t="shared" ref="D152:D156" si="42">+IF(C152="","",+IF(C152=0,"No Cumple",+IF(C152=1,"Cumple Parcial",+IF(C152=2,"Cumple Completo",+IF(C152="N","NA")))))</f>
        <v/>
      </c>
      <c r="E152" s="39"/>
    </row>
    <row r="153" spans="1:5" ht="28" customHeight="1">
      <c r="A153" s="6">
        <f>1+A152</f>
        <v>99</v>
      </c>
      <c r="B153" s="7" t="s">
        <v>176</v>
      </c>
      <c r="C153" s="19"/>
      <c r="D153" s="8" t="str">
        <f t="shared" si="42"/>
        <v/>
      </c>
      <c r="E153" s="39"/>
    </row>
    <row r="154" spans="1:5" ht="28" customHeight="1">
      <c r="A154" s="6">
        <f t="shared" ref="A154:A156" si="43">1+A153</f>
        <v>100</v>
      </c>
      <c r="B154" s="7" t="s">
        <v>177</v>
      </c>
      <c r="C154" s="19"/>
      <c r="D154" s="8" t="str">
        <f t="shared" si="42"/>
        <v/>
      </c>
      <c r="E154" s="39"/>
    </row>
    <row r="155" spans="1:5" ht="28" customHeight="1">
      <c r="A155" s="6">
        <f t="shared" si="43"/>
        <v>101</v>
      </c>
      <c r="B155" s="7" t="s">
        <v>178</v>
      </c>
      <c r="C155" s="19"/>
      <c r="D155" s="8" t="str">
        <f t="shared" si="42"/>
        <v/>
      </c>
      <c r="E155" s="39"/>
    </row>
    <row r="156" spans="1:5" ht="30" customHeight="1">
      <c r="A156" s="6">
        <f t="shared" si="43"/>
        <v>102</v>
      </c>
      <c r="B156" s="7" t="s">
        <v>179</v>
      </c>
      <c r="C156" s="6"/>
      <c r="D156" s="8" t="str">
        <f t="shared" si="42"/>
        <v/>
      </c>
      <c r="E156" s="39"/>
    </row>
    <row r="157" spans="1:5" ht="29.15" customHeight="1" thickBot="1">
      <c r="A157" s="12"/>
      <c r="B157" s="13"/>
      <c r="C157" s="16">
        <f>SUM(C152:C156)</f>
        <v>0</v>
      </c>
      <c r="D157" s="16">
        <f>+COUNT(C152:C156)*2</f>
        <v>0</v>
      </c>
      <c r="E157" s="11" t="str">
        <f>+IF(C152="","",C157/D157)</f>
        <v/>
      </c>
    </row>
    <row r="158" spans="1:5" ht="23.15" customHeight="1">
      <c r="A158" s="34" t="s">
        <v>180</v>
      </c>
      <c r="B158" s="33" t="s">
        <v>181</v>
      </c>
    </row>
    <row r="159" spans="1:5" ht="23.15" customHeight="1">
      <c r="A159" s="34" t="s">
        <v>182</v>
      </c>
      <c r="B159" s="33" t="s">
        <v>10</v>
      </c>
    </row>
    <row r="160" spans="1:5" ht="46.5">
      <c r="A160" s="6">
        <f>1+A156</f>
        <v>103</v>
      </c>
      <c r="B160" s="7" t="s">
        <v>183</v>
      </c>
      <c r="C160" s="6"/>
      <c r="D160" s="8" t="str">
        <f t="shared" ref="D160:D164" si="44">+IF(C160="","",+IF(C160=0,"No Cumple",+IF(C160=1,"Cumple Parcial",+IF(C160=2,"Cumple Completo",+IF(C160="N","NA")))))</f>
        <v/>
      </c>
      <c r="E160" s="39"/>
    </row>
    <row r="161" spans="1:5" ht="30" customHeight="1">
      <c r="A161" s="6">
        <f>1+A160</f>
        <v>104</v>
      </c>
      <c r="B161" s="7" t="s">
        <v>184</v>
      </c>
      <c r="C161" s="6"/>
      <c r="D161" s="8" t="str">
        <f t="shared" si="44"/>
        <v/>
      </c>
      <c r="E161" s="39"/>
    </row>
    <row r="162" spans="1:5" ht="30" customHeight="1">
      <c r="A162" s="6">
        <f>1+A161</f>
        <v>105</v>
      </c>
      <c r="B162" s="7" t="s">
        <v>185</v>
      </c>
      <c r="C162" s="6"/>
      <c r="D162" s="8" t="str">
        <f t="shared" si="44"/>
        <v/>
      </c>
      <c r="E162" s="39"/>
    </row>
    <row r="163" spans="1:5" ht="30" customHeight="1">
      <c r="A163" s="6">
        <f t="shared" ref="A163" si="45">1+A162</f>
        <v>106</v>
      </c>
      <c r="B163" s="7" t="s">
        <v>186</v>
      </c>
      <c r="C163" s="6"/>
      <c r="D163" s="8" t="str">
        <f t="shared" si="44"/>
        <v/>
      </c>
      <c r="E163" s="39"/>
    </row>
    <row r="164" spans="1:5" ht="31">
      <c r="A164" s="6">
        <f>1+A163</f>
        <v>107</v>
      </c>
      <c r="B164" s="7" t="s">
        <v>187</v>
      </c>
      <c r="C164" s="6"/>
      <c r="D164" s="8" t="str">
        <f t="shared" si="44"/>
        <v/>
      </c>
      <c r="E164" s="39"/>
    </row>
    <row r="165" spans="1:5" ht="29.15" customHeight="1" thickBot="1">
      <c r="A165" s="12"/>
      <c r="B165" s="18"/>
      <c r="C165" s="16">
        <f>SUM(C160:C164)</f>
        <v>0</v>
      </c>
      <c r="D165" s="16">
        <f>+COUNT(C160:C164)*2</f>
        <v>0</v>
      </c>
      <c r="E165" s="11" t="str">
        <f>+IF(C160="","",C165/D165)</f>
        <v/>
      </c>
    </row>
    <row r="166" spans="1:5" ht="23.15" customHeight="1">
      <c r="A166" s="34" t="s">
        <v>188</v>
      </c>
      <c r="B166" s="33" t="s">
        <v>189</v>
      </c>
    </row>
    <row r="167" spans="1:5" ht="31">
      <c r="A167" s="6">
        <f>1+A164</f>
        <v>108</v>
      </c>
      <c r="B167" s="7" t="s">
        <v>512</v>
      </c>
      <c r="C167" s="6"/>
      <c r="D167" s="8" t="str">
        <f t="shared" ref="D167:D171" si="46">+IF(C167="","",+IF(C167=0,"No Cumple",+IF(C167=1,"Cumple Parcial",+IF(C167=2,"Cumple Completo",+IF(C167="N","NA")))))</f>
        <v/>
      </c>
      <c r="E167" s="39"/>
    </row>
    <row r="168" spans="1:5" ht="46.5">
      <c r="A168" s="6">
        <f>1+A167</f>
        <v>109</v>
      </c>
      <c r="B168" s="7" t="s">
        <v>513</v>
      </c>
      <c r="C168" s="6"/>
      <c r="D168" s="8" t="str">
        <f t="shared" si="46"/>
        <v/>
      </c>
      <c r="E168" s="39"/>
    </row>
    <row r="169" spans="1:5" ht="30" customHeight="1">
      <c r="A169" s="6">
        <f t="shared" ref="A169:A171" si="47">1+A168</f>
        <v>110</v>
      </c>
      <c r="B169" s="7" t="s">
        <v>190</v>
      </c>
      <c r="C169" s="6"/>
      <c r="D169" s="8" t="str">
        <f t="shared" si="46"/>
        <v/>
      </c>
      <c r="E169" s="39"/>
    </row>
    <row r="170" spans="1:5" ht="31">
      <c r="A170" s="6">
        <f t="shared" si="47"/>
        <v>111</v>
      </c>
      <c r="B170" s="7" t="s">
        <v>191</v>
      </c>
      <c r="C170" s="6"/>
      <c r="D170" s="8" t="str">
        <f t="shared" si="46"/>
        <v/>
      </c>
      <c r="E170" s="39"/>
    </row>
    <row r="171" spans="1:5" ht="46.5">
      <c r="A171" s="6">
        <f t="shared" si="47"/>
        <v>112</v>
      </c>
      <c r="B171" s="7" t="s">
        <v>192</v>
      </c>
      <c r="C171" s="6"/>
      <c r="D171" s="8" t="str">
        <f t="shared" si="46"/>
        <v/>
      </c>
      <c r="E171" s="39"/>
    </row>
    <row r="172" spans="1:5" ht="30" customHeight="1" thickBot="1">
      <c r="A172" s="14"/>
      <c r="B172" s="15"/>
      <c r="C172" s="16">
        <f>SUM(C167:C171)</f>
        <v>0</v>
      </c>
      <c r="D172" s="16">
        <f>+COUNT(C167:C171)*2</f>
        <v>0</v>
      </c>
      <c r="E172" s="11" t="str">
        <f>+IF(C168="","",C172/D172)</f>
        <v/>
      </c>
    </row>
    <row r="173" spans="1:5" ht="23.15" customHeight="1">
      <c r="A173" s="34" t="s">
        <v>193</v>
      </c>
      <c r="B173" s="33" t="s">
        <v>514</v>
      </c>
    </row>
    <row r="174" spans="1:5" ht="31">
      <c r="A174" s="6">
        <f>1+A171</f>
        <v>113</v>
      </c>
      <c r="B174" s="7" t="s">
        <v>515</v>
      </c>
      <c r="C174" s="6"/>
      <c r="D174" s="8" t="str">
        <f t="shared" ref="D174:D176" si="48">+IF(C174="","",+IF(C174=0,"No Cumple",+IF(C174=1,"Cumple Parcial",+IF(C174=2,"Cumple Completo",+IF(C174="N","NA")))))</f>
        <v/>
      </c>
      <c r="E174" s="39"/>
    </row>
    <row r="175" spans="1:5" ht="28" customHeight="1">
      <c r="A175" s="6">
        <f>1+A174</f>
        <v>114</v>
      </c>
      <c r="B175" s="7" t="s">
        <v>194</v>
      </c>
      <c r="C175" s="6"/>
      <c r="D175" s="8" t="str">
        <f t="shared" si="48"/>
        <v/>
      </c>
      <c r="E175" s="39"/>
    </row>
    <row r="176" spans="1:5" ht="46.5">
      <c r="A176" s="6">
        <f>1+A175</f>
        <v>115</v>
      </c>
      <c r="B176" s="7" t="s">
        <v>195</v>
      </c>
      <c r="C176" s="6"/>
      <c r="D176" s="8" t="str">
        <f t="shared" si="48"/>
        <v/>
      </c>
      <c r="E176" s="39"/>
    </row>
    <row r="177" spans="1:5" ht="29.15" customHeight="1" thickBot="1">
      <c r="A177" s="12"/>
      <c r="B177" s="18"/>
      <c r="C177" s="16">
        <f>SUM(C174:C176)</f>
        <v>0</v>
      </c>
      <c r="D177" s="16">
        <f>+COUNT(C174:C176)*2</f>
        <v>0</v>
      </c>
      <c r="E177" s="11" t="str">
        <f>+IF(C174="","",C177/D177)</f>
        <v/>
      </c>
    </row>
    <row r="178" spans="1:5" ht="23.15" customHeight="1">
      <c r="A178" s="34" t="s">
        <v>17</v>
      </c>
      <c r="B178" s="33" t="s">
        <v>196</v>
      </c>
    </row>
    <row r="179" spans="1:5" ht="29.15" customHeight="1">
      <c r="A179" s="6">
        <f>1+A176</f>
        <v>116</v>
      </c>
      <c r="B179" s="7" t="s">
        <v>197</v>
      </c>
      <c r="C179" s="6"/>
      <c r="D179" s="8" t="str">
        <f t="shared" ref="D179:D183" si="49">+IF(C179="","",+IF(C179=0,"No Cumple",+IF(C179=1,"Cumple Parcial",+IF(C179=2,"Cumple Completo",+IF(C179="N","NA")))))</f>
        <v/>
      </c>
      <c r="E179" s="39"/>
    </row>
    <row r="180" spans="1:5" ht="31">
      <c r="A180" s="6">
        <f>1+A179</f>
        <v>117</v>
      </c>
      <c r="B180" s="7" t="s">
        <v>516</v>
      </c>
      <c r="C180" s="6"/>
      <c r="D180" s="8" t="str">
        <f t="shared" si="49"/>
        <v/>
      </c>
      <c r="E180" s="39"/>
    </row>
    <row r="181" spans="1:5" ht="31">
      <c r="A181" s="6">
        <f t="shared" ref="A181:A183" si="50">1+A180</f>
        <v>118</v>
      </c>
      <c r="B181" s="7" t="s">
        <v>198</v>
      </c>
      <c r="C181" s="6"/>
      <c r="D181" s="8" t="str">
        <f t="shared" si="49"/>
        <v/>
      </c>
      <c r="E181" s="39"/>
    </row>
    <row r="182" spans="1:5" ht="31">
      <c r="A182" s="6">
        <f t="shared" si="50"/>
        <v>119</v>
      </c>
      <c r="B182" s="7" t="s">
        <v>199</v>
      </c>
      <c r="C182" s="6"/>
      <c r="D182" s="8" t="str">
        <f t="shared" si="49"/>
        <v/>
      </c>
      <c r="E182" s="39"/>
    </row>
    <row r="183" spans="1:5" ht="28" customHeight="1">
      <c r="A183" s="6">
        <f t="shared" si="50"/>
        <v>120</v>
      </c>
      <c r="B183" s="7" t="s">
        <v>200</v>
      </c>
      <c r="C183" s="6"/>
      <c r="D183" s="8" t="str">
        <f t="shared" si="49"/>
        <v/>
      </c>
      <c r="E183" s="39"/>
    </row>
    <row r="184" spans="1:5" ht="29.15" customHeight="1" thickBot="1">
      <c r="A184" s="12"/>
      <c r="B184" s="18"/>
      <c r="C184" s="16">
        <f>SUM(C179:C183)</f>
        <v>0</v>
      </c>
      <c r="D184" s="16">
        <f>+COUNT(C179:C183)*2</f>
        <v>0</v>
      </c>
      <c r="E184" s="11" t="str">
        <f>+IF(C180="","",C184/D184)</f>
        <v/>
      </c>
    </row>
    <row r="185" spans="1:5" ht="23.15" customHeight="1">
      <c r="A185" s="34" t="s">
        <v>201</v>
      </c>
      <c r="B185" s="33" t="s">
        <v>202</v>
      </c>
    </row>
    <row r="186" spans="1:5" ht="31">
      <c r="A186" s="6">
        <f>1+A183</f>
        <v>121</v>
      </c>
      <c r="B186" s="7" t="s">
        <v>203</v>
      </c>
      <c r="C186" s="6"/>
      <c r="D186" s="8" t="str">
        <f t="shared" ref="D186:D190" si="51">+IF(C186="","",+IF(C186=0,"No Cumple",+IF(C186=1,"Cumple Parcial",+IF(C186=2,"Cumple Completo",+IF(C186="N","NA")))))</f>
        <v/>
      </c>
      <c r="E186" s="39"/>
    </row>
    <row r="187" spans="1:5" ht="29.15" customHeight="1">
      <c r="A187" s="6">
        <f t="shared" ref="A187:A190" si="52">1+A186</f>
        <v>122</v>
      </c>
      <c r="B187" s="7" t="s">
        <v>204</v>
      </c>
      <c r="C187" s="6"/>
      <c r="D187" s="8" t="str">
        <f t="shared" si="51"/>
        <v/>
      </c>
      <c r="E187" s="39"/>
    </row>
    <row r="188" spans="1:5" ht="29.15" customHeight="1">
      <c r="A188" s="6">
        <f t="shared" si="52"/>
        <v>123</v>
      </c>
      <c r="B188" s="7" t="s">
        <v>205</v>
      </c>
      <c r="C188" s="6"/>
      <c r="D188" s="8" t="str">
        <f t="shared" si="51"/>
        <v/>
      </c>
      <c r="E188" s="39"/>
    </row>
    <row r="189" spans="1:5" ht="28" customHeight="1">
      <c r="A189" s="6">
        <f t="shared" si="52"/>
        <v>124</v>
      </c>
      <c r="B189" s="7" t="s">
        <v>206</v>
      </c>
      <c r="C189" s="6"/>
      <c r="D189" s="8" t="str">
        <f t="shared" si="51"/>
        <v/>
      </c>
      <c r="E189" s="39"/>
    </row>
    <row r="190" spans="1:5" ht="29.15" customHeight="1">
      <c r="A190" s="6">
        <f t="shared" si="52"/>
        <v>125</v>
      </c>
      <c r="B190" s="7" t="s">
        <v>207</v>
      </c>
      <c r="C190" s="6"/>
      <c r="D190" s="8" t="str">
        <f t="shared" si="51"/>
        <v/>
      </c>
      <c r="E190" s="39"/>
    </row>
    <row r="191" spans="1:5" ht="29.15" customHeight="1" thickBot="1">
      <c r="A191" s="12"/>
      <c r="B191" s="18"/>
      <c r="C191" s="16">
        <f>SUM(C186:C190)</f>
        <v>0</v>
      </c>
      <c r="D191" s="16">
        <f>+COUNT(C186:C190)*2</f>
        <v>0</v>
      </c>
      <c r="E191" s="11" t="str">
        <f>+IF(C186="","",C191/D191)</f>
        <v/>
      </c>
    </row>
    <row r="192" spans="1:5" ht="23.15" customHeight="1">
      <c r="A192" s="34" t="s">
        <v>208</v>
      </c>
      <c r="B192" s="33" t="s">
        <v>2</v>
      </c>
    </row>
    <row r="193" spans="1:5" ht="28" customHeight="1">
      <c r="A193" s="6">
        <f>1+A190</f>
        <v>126</v>
      </c>
      <c r="B193" s="7" t="s">
        <v>209</v>
      </c>
      <c r="C193" s="6"/>
      <c r="D193" s="8" t="str">
        <f t="shared" ref="D193:D198" si="53">+IF(C193="","",+IF(C193=0,"No Cumple",+IF(C193=1,"Cumple Parcial",+IF(C193=2,"Cumple Completo",+IF(C193="N","NA")))))</f>
        <v/>
      </c>
      <c r="E193" s="39"/>
    </row>
    <row r="194" spans="1:5" ht="29.15" customHeight="1">
      <c r="A194" s="6">
        <f t="shared" ref="A194:A198" si="54">1+A193</f>
        <v>127</v>
      </c>
      <c r="B194" s="7" t="s">
        <v>210</v>
      </c>
      <c r="C194" s="6"/>
      <c r="D194" s="8" t="str">
        <f t="shared" si="53"/>
        <v/>
      </c>
      <c r="E194" s="39"/>
    </row>
    <row r="195" spans="1:5" ht="30" customHeight="1">
      <c r="A195" s="6">
        <f t="shared" si="54"/>
        <v>128</v>
      </c>
      <c r="B195" s="7" t="s">
        <v>211</v>
      </c>
      <c r="C195" s="6"/>
      <c r="D195" s="8" t="str">
        <f t="shared" si="53"/>
        <v/>
      </c>
      <c r="E195" s="39"/>
    </row>
    <row r="196" spans="1:5" ht="30" customHeight="1">
      <c r="A196" s="6">
        <f t="shared" si="54"/>
        <v>129</v>
      </c>
      <c r="B196" s="7" t="s">
        <v>212</v>
      </c>
      <c r="C196" s="6"/>
      <c r="D196" s="8" t="str">
        <f t="shared" si="53"/>
        <v/>
      </c>
      <c r="E196" s="39"/>
    </row>
    <row r="197" spans="1:5" ht="30" customHeight="1">
      <c r="A197" s="6">
        <f t="shared" si="54"/>
        <v>130</v>
      </c>
      <c r="B197" s="7" t="s">
        <v>213</v>
      </c>
      <c r="C197" s="6"/>
      <c r="D197" s="8" t="str">
        <f t="shared" si="53"/>
        <v/>
      </c>
      <c r="E197" s="39"/>
    </row>
    <row r="198" spans="1:5" ht="30" customHeight="1">
      <c r="A198" s="6">
        <f t="shared" si="54"/>
        <v>131</v>
      </c>
      <c r="B198" s="7" t="s">
        <v>214</v>
      </c>
      <c r="C198" s="6"/>
      <c r="D198" s="8" t="str">
        <f t="shared" si="53"/>
        <v/>
      </c>
      <c r="E198" s="39"/>
    </row>
    <row r="199" spans="1:5" ht="29.15" customHeight="1" thickBot="1">
      <c r="A199" s="12"/>
      <c r="B199" s="18"/>
      <c r="C199" s="16">
        <f>SUM(C193:C198)</f>
        <v>0</v>
      </c>
      <c r="D199" s="16">
        <f>+COUNT(C193:C198)*2</f>
        <v>0</v>
      </c>
      <c r="E199" s="11" t="str">
        <f>+IF(C193="","",C199/D199)</f>
        <v/>
      </c>
    </row>
    <row r="200" spans="1:5" ht="23.15" customHeight="1">
      <c r="A200" s="34" t="s">
        <v>215</v>
      </c>
      <c r="B200" s="33" t="s">
        <v>216</v>
      </c>
    </row>
    <row r="201" spans="1:5" ht="23.15" customHeight="1">
      <c r="A201" s="34" t="s">
        <v>33</v>
      </c>
      <c r="B201" s="33" t="s">
        <v>10</v>
      </c>
    </row>
    <row r="202" spans="1:5" ht="29.15" customHeight="1">
      <c r="A202" s="6">
        <f>1+A198</f>
        <v>132</v>
      </c>
      <c r="B202" s="7" t="s">
        <v>217</v>
      </c>
      <c r="C202" s="6"/>
      <c r="D202" s="8" t="str">
        <f t="shared" ref="D202:D204" si="55">+IF(C202="","",+IF(C202=0,"No Cumple",+IF(C202=1,"Cumple Parcial",+IF(C202=2,"Cumple Completo",+IF(C202="N","NA")))))</f>
        <v/>
      </c>
      <c r="E202" s="39"/>
    </row>
    <row r="203" spans="1:5" ht="29.15" customHeight="1">
      <c r="A203" s="6">
        <f t="shared" ref="A203:A204" si="56">1+A202</f>
        <v>133</v>
      </c>
      <c r="B203" s="7" t="s">
        <v>218</v>
      </c>
      <c r="C203" s="6"/>
      <c r="D203" s="8" t="str">
        <f t="shared" si="55"/>
        <v/>
      </c>
      <c r="E203" s="39"/>
    </row>
    <row r="204" spans="1:5" ht="38.15" customHeight="1">
      <c r="A204" s="6">
        <f t="shared" si="56"/>
        <v>134</v>
      </c>
      <c r="B204" s="7" t="s">
        <v>219</v>
      </c>
      <c r="C204" s="6"/>
      <c r="D204" s="8" t="str">
        <f t="shared" si="55"/>
        <v/>
      </c>
      <c r="E204" s="39"/>
    </row>
    <row r="205" spans="1:5" ht="29.15" customHeight="1" thickBot="1">
      <c r="A205" s="12"/>
      <c r="B205" s="18"/>
      <c r="C205" s="16">
        <f>SUM(C202:C204)</f>
        <v>0</v>
      </c>
      <c r="D205" s="16">
        <f>+COUNT(C202:C204)*2</f>
        <v>0</v>
      </c>
      <c r="E205" s="11" t="str">
        <f>+IF(C203="","",C205/D205)</f>
        <v/>
      </c>
    </row>
    <row r="206" spans="1:5" ht="23.15" customHeight="1">
      <c r="A206" s="34" t="s">
        <v>34</v>
      </c>
      <c r="B206" s="33" t="s">
        <v>220</v>
      </c>
    </row>
    <row r="207" spans="1:5" ht="31">
      <c r="A207" s="6">
        <f>1+A204</f>
        <v>135</v>
      </c>
      <c r="B207" s="7" t="s">
        <v>517</v>
      </c>
      <c r="C207" s="6"/>
      <c r="D207" s="8" t="str">
        <f t="shared" ref="D207:D210" si="57">+IF(C207="","",+IF(C207=0,"No Cumple",+IF(C207=1,"Cumple Parcial",+IF(C207=2,"Cumple Completo",+IF(C207="N","NA")))))</f>
        <v/>
      </c>
      <c r="E207" s="39"/>
    </row>
    <row r="208" spans="1:5" ht="28" customHeight="1">
      <c r="A208" s="6">
        <f>1+A207</f>
        <v>136</v>
      </c>
      <c r="B208" s="7" t="s">
        <v>221</v>
      </c>
      <c r="C208" s="19"/>
      <c r="D208" s="8" t="str">
        <f t="shared" si="57"/>
        <v/>
      </c>
      <c r="E208" s="39"/>
    </row>
    <row r="209" spans="1:5" ht="31">
      <c r="A209" s="6">
        <f t="shared" ref="A209:A210" si="58">1+A208</f>
        <v>137</v>
      </c>
      <c r="B209" s="7" t="s">
        <v>222</v>
      </c>
      <c r="C209" s="19"/>
      <c r="D209" s="8" t="str">
        <f t="shared" si="57"/>
        <v/>
      </c>
      <c r="E209" s="39"/>
    </row>
    <row r="210" spans="1:5" ht="29.15" customHeight="1">
      <c r="A210" s="6">
        <f t="shared" si="58"/>
        <v>138</v>
      </c>
      <c r="B210" s="7" t="s">
        <v>223</v>
      </c>
      <c r="C210" s="6"/>
      <c r="D210" s="8" t="str">
        <f t="shared" si="57"/>
        <v/>
      </c>
      <c r="E210" s="39"/>
    </row>
    <row r="211" spans="1:5" ht="29.15" customHeight="1" thickBot="1">
      <c r="A211" s="12"/>
      <c r="B211" s="18"/>
      <c r="C211" s="16">
        <f>SUM(C207:C210)</f>
        <v>0</v>
      </c>
      <c r="D211" s="16">
        <f>+COUNT(C207:C210)*2</f>
        <v>0</v>
      </c>
      <c r="E211" s="11" t="str">
        <f>+IF(C207="","",C211/D211)</f>
        <v/>
      </c>
    </row>
    <row r="212" spans="1:5" ht="23.15" customHeight="1">
      <c r="A212" s="34" t="s">
        <v>35</v>
      </c>
      <c r="B212" s="33" t="s">
        <v>224</v>
      </c>
    </row>
    <row r="213" spans="1:5" ht="23.15" customHeight="1">
      <c r="A213" s="34" t="s">
        <v>225</v>
      </c>
      <c r="B213" s="33" t="s">
        <v>229</v>
      </c>
    </row>
    <row r="214" spans="1:5" ht="31">
      <c r="A214" s="6">
        <f>1+A210</f>
        <v>139</v>
      </c>
      <c r="B214" s="7" t="s">
        <v>226</v>
      </c>
      <c r="C214" s="6"/>
      <c r="D214" s="8" t="str">
        <f t="shared" ref="D214:D216" si="59">+IF(C214="","",+IF(C214=0,"No Cumple",+IF(C214=1,"Cumple Parcial",+IF(C214=2,"Cumple Completo",+IF(C214="N","NA")))))</f>
        <v/>
      </c>
      <c r="E214" s="39"/>
    </row>
    <row r="215" spans="1:5" ht="30" customHeight="1">
      <c r="A215" s="6">
        <f t="shared" ref="A215:A216" si="60">1+A214</f>
        <v>140</v>
      </c>
      <c r="B215" s="7" t="s">
        <v>227</v>
      </c>
      <c r="C215" s="6"/>
      <c r="D215" s="8" t="str">
        <f t="shared" si="59"/>
        <v/>
      </c>
      <c r="E215" s="39"/>
    </row>
    <row r="216" spans="1:5" ht="31">
      <c r="A216" s="6">
        <f t="shared" si="60"/>
        <v>141</v>
      </c>
      <c r="B216" s="7" t="s">
        <v>518</v>
      </c>
      <c r="C216" s="6"/>
      <c r="D216" s="8" t="str">
        <f t="shared" si="59"/>
        <v/>
      </c>
      <c r="E216" s="39"/>
    </row>
    <row r="217" spans="1:5" ht="29.15" customHeight="1" thickBot="1">
      <c r="A217" s="12"/>
      <c r="B217" s="18"/>
      <c r="C217" s="16">
        <f>SUM(C214:C216)</f>
        <v>0</v>
      </c>
      <c r="D217" s="16">
        <f>+COUNT(C214:C216)*2</f>
        <v>0</v>
      </c>
      <c r="E217" s="11" t="str">
        <f>+IF(C214="","",C217/D217)</f>
        <v/>
      </c>
    </row>
    <row r="218" spans="1:5" ht="23.15" customHeight="1">
      <c r="A218" s="34" t="s">
        <v>228</v>
      </c>
      <c r="B218" s="33" t="s">
        <v>230</v>
      </c>
    </row>
    <row r="219" spans="1:5" ht="31">
      <c r="A219" s="6">
        <f>1+A216</f>
        <v>142</v>
      </c>
      <c r="B219" s="7" t="s">
        <v>231</v>
      </c>
      <c r="C219" s="6"/>
      <c r="D219" s="8" t="str">
        <f t="shared" ref="D219:D225" si="61">+IF(C219="","",+IF(C219=0,"No Cumple",+IF(C219=1,"Cumple Parcial",+IF(C219=2,"Cumple Completo",+IF(C219="N","NA")))))</f>
        <v/>
      </c>
      <c r="E219" s="39"/>
    </row>
    <row r="220" spans="1:5" ht="30" customHeight="1">
      <c r="A220" s="6">
        <f t="shared" ref="A220:A225" si="62">1+A219</f>
        <v>143</v>
      </c>
      <c r="B220" s="7" t="s">
        <v>232</v>
      </c>
      <c r="C220" s="6"/>
      <c r="D220" s="8" t="str">
        <f t="shared" si="61"/>
        <v/>
      </c>
      <c r="E220" s="39"/>
    </row>
    <row r="221" spans="1:5" ht="30" customHeight="1">
      <c r="A221" s="6">
        <f t="shared" si="62"/>
        <v>144</v>
      </c>
      <c r="B221" s="7" t="s">
        <v>233</v>
      </c>
      <c r="C221" s="6"/>
      <c r="D221" s="8" t="str">
        <f t="shared" si="61"/>
        <v/>
      </c>
      <c r="E221" s="39"/>
    </row>
    <row r="222" spans="1:5" ht="30" customHeight="1">
      <c r="A222" s="6">
        <f t="shared" si="62"/>
        <v>145</v>
      </c>
      <c r="B222" s="7" t="s">
        <v>234</v>
      </c>
      <c r="C222" s="6"/>
      <c r="D222" s="8" t="str">
        <f t="shared" si="61"/>
        <v/>
      </c>
      <c r="E222" s="39"/>
    </row>
    <row r="223" spans="1:5" ht="30" customHeight="1">
      <c r="A223" s="6">
        <f t="shared" si="62"/>
        <v>146</v>
      </c>
      <c r="B223" s="7" t="s">
        <v>235</v>
      </c>
      <c r="C223" s="6"/>
      <c r="D223" s="8" t="str">
        <f t="shared" si="61"/>
        <v/>
      </c>
      <c r="E223" s="39"/>
    </row>
    <row r="224" spans="1:5" ht="31">
      <c r="A224" s="6">
        <f t="shared" si="62"/>
        <v>147</v>
      </c>
      <c r="B224" s="7" t="s">
        <v>236</v>
      </c>
      <c r="C224" s="19"/>
      <c r="D224" s="8" t="str">
        <f t="shared" si="61"/>
        <v/>
      </c>
      <c r="E224" s="39"/>
    </row>
    <row r="225" spans="1:7" ht="31">
      <c r="A225" s="6">
        <f t="shared" si="62"/>
        <v>148</v>
      </c>
      <c r="B225" s="7" t="s">
        <v>237</v>
      </c>
      <c r="C225" s="6"/>
      <c r="D225" s="8" t="str">
        <f t="shared" si="61"/>
        <v/>
      </c>
      <c r="E225" s="39"/>
    </row>
    <row r="226" spans="1:7" ht="29.15" customHeight="1" thickBot="1">
      <c r="A226" s="12"/>
      <c r="B226" s="18"/>
      <c r="C226" s="16">
        <f>SUM(C219:C225)</f>
        <v>0</v>
      </c>
      <c r="D226" s="16">
        <f>+COUNT(C219:C225)*2</f>
        <v>0</v>
      </c>
      <c r="E226" s="11" t="str">
        <f>+IF(C219="","",C226/D226)</f>
        <v/>
      </c>
      <c r="G226" s="29" t="str">
        <f>+IFERROR(+AVERAGE(E139,E142,E150,E157,E165,E172,E177,E184,E191,E199,E205,E211,E217,E226),"")</f>
        <v/>
      </c>
    </row>
    <row r="227" spans="1:7" ht="23.15" customHeight="1">
      <c r="A227" s="35">
        <v>8</v>
      </c>
      <c r="B227" s="32" t="s">
        <v>243</v>
      </c>
    </row>
    <row r="228" spans="1:7" ht="23.15" customHeight="1">
      <c r="A228" s="34" t="s">
        <v>37</v>
      </c>
      <c r="B228" s="33" t="s">
        <v>244</v>
      </c>
    </row>
    <row r="229" spans="1:7" ht="46.5">
      <c r="A229" s="6">
        <f>1+A225</f>
        <v>149</v>
      </c>
      <c r="B229" s="7" t="s">
        <v>292</v>
      </c>
      <c r="C229" s="19"/>
      <c r="D229" s="8" t="str">
        <f t="shared" ref="D229:D241" si="63">+IF(C229="","",+IF(C229=0,"No Cumple",+IF(C229=1,"Cumple Parcial",+IF(C229=2,"Cumple Completo",+IF(C229="N","NA")))))</f>
        <v/>
      </c>
      <c r="E229" s="39"/>
    </row>
    <row r="230" spans="1:7" ht="30" customHeight="1">
      <c r="A230" s="6">
        <f>1+A229</f>
        <v>150</v>
      </c>
      <c r="B230" s="7" t="s">
        <v>245</v>
      </c>
      <c r="C230" s="19"/>
      <c r="D230" s="8" t="str">
        <f t="shared" si="63"/>
        <v/>
      </c>
      <c r="E230" s="39"/>
    </row>
    <row r="231" spans="1:7" ht="30" customHeight="1">
      <c r="A231" s="6">
        <f t="shared" ref="A231:A241" si="64">1+A230</f>
        <v>151</v>
      </c>
      <c r="B231" s="7" t="s">
        <v>246</v>
      </c>
      <c r="C231" s="19"/>
      <c r="D231" s="8" t="str">
        <f t="shared" si="63"/>
        <v/>
      </c>
      <c r="E231" s="39"/>
    </row>
    <row r="232" spans="1:7" ht="30" customHeight="1">
      <c r="A232" s="6">
        <f t="shared" si="64"/>
        <v>152</v>
      </c>
      <c r="B232" s="7" t="s">
        <v>247</v>
      </c>
      <c r="C232" s="19"/>
      <c r="D232" s="8" t="str">
        <f t="shared" si="63"/>
        <v/>
      </c>
      <c r="E232" s="39"/>
    </row>
    <row r="233" spans="1:7" ht="30" customHeight="1">
      <c r="A233" s="6">
        <f t="shared" si="64"/>
        <v>153</v>
      </c>
      <c r="B233" s="7" t="s">
        <v>248</v>
      </c>
      <c r="C233" s="19"/>
      <c r="D233" s="8" t="str">
        <f t="shared" si="63"/>
        <v/>
      </c>
      <c r="E233" s="39"/>
    </row>
    <row r="234" spans="1:7" ht="31">
      <c r="A234" s="6">
        <f t="shared" si="64"/>
        <v>154</v>
      </c>
      <c r="B234" s="7" t="s">
        <v>249</v>
      </c>
      <c r="C234" s="19"/>
      <c r="D234" s="8" t="str">
        <f t="shared" si="63"/>
        <v/>
      </c>
      <c r="E234" s="39"/>
    </row>
    <row r="235" spans="1:7" ht="30" customHeight="1">
      <c r="A235" s="6">
        <f t="shared" si="64"/>
        <v>155</v>
      </c>
      <c r="B235" s="7" t="s">
        <v>250</v>
      </c>
      <c r="C235" s="19"/>
      <c r="D235" s="8" t="str">
        <f t="shared" si="63"/>
        <v/>
      </c>
      <c r="E235" s="39"/>
    </row>
    <row r="236" spans="1:7" ht="31">
      <c r="A236" s="6">
        <f t="shared" si="64"/>
        <v>156</v>
      </c>
      <c r="B236" s="7" t="s">
        <v>251</v>
      </c>
      <c r="C236" s="19"/>
      <c r="D236" s="8" t="str">
        <f t="shared" si="63"/>
        <v/>
      </c>
      <c r="E236" s="39"/>
    </row>
    <row r="237" spans="1:7" ht="30" customHeight="1">
      <c r="A237" s="6">
        <f t="shared" si="64"/>
        <v>157</v>
      </c>
      <c r="B237" s="7" t="s">
        <v>252</v>
      </c>
      <c r="C237" s="19"/>
      <c r="D237" s="8" t="str">
        <f t="shared" si="63"/>
        <v/>
      </c>
      <c r="E237" s="39"/>
    </row>
    <row r="238" spans="1:7" ht="30" customHeight="1">
      <c r="A238" s="6">
        <f t="shared" si="64"/>
        <v>158</v>
      </c>
      <c r="B238" s="7" t="s">
        <v>253</v>
      </c>
      <c r="C238" s="19"/>
      <c r="D238" s="8" t="str">
        <f t="shared" si="63"/>
        <v/>
      </c>
      <c r="E238" s="39"/>
    </row>
    <row r="239" spans="1:7" ht="28" customHeight="1">
      <c r="A239" s="6">
        <f t="shared" si="64"/>
        <v>159</v>
      </c>
      <c r="B239" s="7" t="s">
        <v>519</v>
      </c>
      <c r="C239" s="19"/>
      <c r="D239" s="8" t="str">
        <f t="shared" si="63"/>
        <v/>
      </c>
      <c r="E239" s="39"/>
    </row>
    <row r="240" spans="1:7" ht="31">
      <c r="A240" s="6">
        <f t="shared" si="64"/>
        <v>160</v>
      </c>
      <c r="B240" s="7" t="s">
        <v>254</v>
      </c>
      <c r="C240" s="19"/>
      <c r="D240" s="8" t="str">
        <f t="shared" si="63"/>
        <v/>
      </c>
      <c r="E240" s="39"/>
    </row>
    <row r="241" spans="1:5" ht="28" customHeight="1">
      <c r="A241" s="6">
        <f t="shared" si="64"/>
        <v>161</v>
      </c>
      <c r="B241" s="7" t="s">
        <v>255</v>
      </c>
      <c r="C241" s="6"/>
      <c r="D241" s="8" t="str">
        <f t="shared" si="63"/>
        <v/>
      </c>
      <c r="E241" s="39"/>
    </row>
    <row r="242" spans="1:5" ht="29.15" customHeight="1" thickBot="1">
      <c r="A242" s="12"/>
      <c r="B242" s="18"/>
      <c r="C242" s="16">
        <f>SUM(C229:C241)</f>
        <v>0</v>
      </c>
      <c r="D242" s="16">
        <f>+COUNT(C229:C241)*2</f>
        <v>0</v>
      </c>
      <c r="E242" s="11" t="str">
        <f>+IF(C229="","",C242/D242)</f>
        <v/>
      </c>
    </row>
    <row r="243" spans="1:5" ht="23.15" customHeight="1">
      <c r="A243" s="35" t="s">
        <v>259</v>
      </c>
      <c r="B243" s="32" t="s">
        <v>260</v>
      </c>
    </row>
    <row r="244" spans="1:5" ht="23.15" customHeight="1">
      <c r="A244" s="34" t="s">
        <v>38</v>
      </c>
      <c r="B244" s="33" t="s">
        <v>261</v>
      </c>
    </row>
    <row r="245" spans="1:5" ht="36" customHeight="1">
      <c r="A245" s="6">
        <f>1+A241</f>
        <v>162</v>
      </c>
      <c r="B245" s="7" t="s">
        <v>262</v>
      </c>
      <c r="C245" s="6"/>
      <c r="D245" s="8" t="str">
        <f t="shared" ref="D245:D250" si="65">+IF(C245="","",+IF(C245=0,"No Cumple",+IF(C245=1,"Cumple Parcial",+IF(C245=2,"Cumple Completo",+IF(C245="N","NA")))))</f>
        <v/>
      </c>
      <c r="E245" s="39"/>
    </row>
    <row r="246" spans="1:5" ht="36" customHeight="1">
      <c r="A246" s="6">
        <f>1+A245</f>
        <v>163</v>
      </c>
      <c r="B246" s="7" t="s">
        <v>263</v>
      </c>
      <c r="C246" s="6"/>
      <c r="D246" s="8" t="str">
        <f t="shared" si="65"/>
        <v/>
      </c>
      <c r="E246" s="39"/>
    </row>
    <row r="247" spans="1:5" ht="36" customHeight="1">
      <c r="A247" s="6">
        <f t="shared" ref="A247:A249" si="66">1+A246</f>
        <v>164</v>
      </c>
      <c r="B247" s="7" t="s">
        <v>264</v>
      </c>
      <c r="C247" s="6"/>
      <c r="D247" s="8" t="str">
        <f t="shared" si="65"/>
        <v/>
      </c>
      <c r="E247" s="39"/>
    </row>
    <row r="248" spans="1:5" ht="36" customHeight="1">
      <c r="A248" s="6">
        <f t="shared" si="66"/>
        <v>165</v>
      </c>
      <c r="B248" s="7" t="s">
        <v>266</v>
      </c>
      <c r="C248" s="6"/>
      <c r="D248" s="8" t="str">
        <f t="shared" si="65"/>
        <v/>
      </c>
      <c r="E248" s="39"/>
    </row>
    <row r="249" spans="1:5" ht="36" customHeight="1">
      <c r="A249" s="6">
        <f t="shared" si="66"/>
        <v>166</v>
      </c>
      <c r="B249" s="7" t="s">
        <v>265</v>
      </c>
      <c r="C249" s="6"/>
      <c r="D249" s="8" t="str">
        <f t="shared" si="65"/>
        <v/>
      </c>
      <c r="E249" s="39"/>
    </row>
    <row r="250" spans="1:5" ht="36" customHeight="1">
      <c r="A250" s="6">
        <f t="shared" ref="A250" si="67">1+A249</f>
        <v>167</v>
      </c>
      <c r="B250" s="7" t="s">
        <v>267</v>
      </c>
      <c r="C250" s="6"/>
      <c r="D250" s="8" t="str">
        <f t="shared" si="65"/>
        <v/>
      </c>
      <c r="E250" s="39"/>
    </row>
    <row r="251" spans="1:5" ht="29.15" customHeight="1" thickBot="1">
      <c r="A251" s="12"/>
      <c r="B251" s="18"/>
      <c r="C251" s="16">
        <f>SUM(C245:C250)</f>
        <v>0</v>
      </c>
      <c r="D251" s="16">
        <f>+COUNT(C245:C250)*2</f>
        <v>0</v>
      </c>
      <c r="E251" s="11" t="str">
        <f>+IF(C246="","",C251/D251)</f>
        <v/>
      </c>
    </row>
    <row r="252" spans="1:5" ht="23.15" customHeight="1">
      <c r="A252" s="34" t="s">
        <v>40</v>
      </c>
      <c r="B252" s="33" t="s">
        <v>268</v>
      </c>
    </row>
    <row r="253" spans="1:5" ht="31">
      <c r="A253" s="6">
        <f>1+A250</f>
        <v>168</v>
      </c>
      <c r="B253" s="7" t="s">
        <v>269</v>
      </c>
      <c r="C253" s="6"/>
      <c r="D253" s="8" t="str">
        <f t="shared" ref="D253:D257" si="68">+IF(C253="","",+IF(C253=0,"No Cumple",+IF(C253=1,"Cumple Parcial",+IF(C253=2,"Cumple Completo",+IF(C253="N","NA")))))</f>
        <v/>
      </c>
      <c r="E253" s="39"/>
    </row>
    <row r="254" spans="1:5" ht="30" customHeight="1">
      <c r="A254" s="6">
        <f t="shared" ref="A254:A257" si="69">1+A253</f>
        <v>169</v>
      </c>
      <c r="B254" s="7" t="s">
        <v>270</v>
      </c>
      <c r="C254" s="6"/>
      <c r="D254" s="8" t="str">
        <f t="shared" si="68"/>
        <v/>
      </c>
      <c r="E254" s="39"/>
    </row>
    <row r="255" spans="1:5" ht="30" customHeight="1">
      <c r="A255" s="6">
        <f t="shared" si="69"/>
        <v>170</v>
      </c>
      <c r="B255" s="7" t="s">
        <v>271</v>
      </c>
      <c r="C255" s="19"/>
      <c r="D255" s="8" t="str">
        <f t="shared" si="68"/>
        <v/>
      </c>
      <c r="E255" s="39"/>
    </row>
    <row r="256" spans="1:5" ht="30" customHeight="1">
      <c r="A256" s="6">
        <f t="shared" si="69"/>
        <v>171</v>
      </c>
      <c r="B256" s="7" t="s">
        <v>272</v>
      </c>
      <c r="C256" s="19"/>
      <c r="D256" s="8" t="str">
        <f t="shared" si="68"/>
        <v/>
      </c>
      <c r="E256" s="39"/>
    </row>
    <row r="257" spans="1:5" ht="28" customHeight="1">
      <c r="A257" s="6">
        <f t="shared" si="69"/>
        <v>172</v>
      </c>
      <c r="B257" s="7" t="s">
        <v>273</v>
      </c>
      <c r="C257" s="6"/>
      <c r="D257" s="8" t="str">
        <f t="shared" si="68"/>
        <v/>
      </c>
      <c r="E257" s="39"/>
    </row>
    <row r="258" spans="1:5" ht="29.15" customHeight="1" thickBot="1">
      <c r="A258" s="12"/>
      <c r="B258" s="18"/>
      <c r="C258" s="16">
        <f>SUM(C253:C257)</f>
        <v>0</v>
      </c>
      <c r="D258" s="16">
        <f>+COUNT(C253:C257)*2</f>
        <v>0</v>
      </c>
      <c r="E258" s="11" t="str">
        <f>+IF(C254="","",C258/D258)</f>
        <v/>
      </c>
    </row>
    <row r="259" spans="1:5" ht="23.15" customHeight="1">
      <c r="A259" s="34" t="s">
        <v>41</v>
      </c>
      <c r="B259" s="33" t="s">
        <v>274</v>
      </c>
    </row>
    <row r="260" spans="1:5" ht="23.15" customHeight="1">
      <c r="A260" s="34" t="s">
        <v>275</v>
      </c>
      <c r="B260" s="33" t="s">
        <v>276</v>
      </c>
    </row>
    <row r="261" spans="1:5" ht="46.5">
      <c r="A261" s="6">
        <f>1+A257</f>
        <v>173</v>
      </c>
      <c r="B261" s="7" t="s">
        <v>277</v>
      </c>
      <c r="C261" s="19"/>
      <c r="D261" s="8" t="str">
        <f t="shared" ref="D261:D268" si="70">+IF(C261="","",+IF(C261=0,"No Cumple",+IF(C261=1,"Cumple Parcial",+IF(C261=2,"Cumple Completo",+IF(C261="N","NA")))))</f>
        <v/>
      </c>
      <c r="E261" s="39"/>
    </row>
    <row r="262" spans="1:5" ht="31">
      <c r="A262" s="6">
        <f t="shared" ref="A262:A268" si="71">1+A261</f>
        <v>174</v>
      </c>
      <c r="B262" s="7" t="s">
        <v>278</v>
      </c>
      <c r="C262" s="19"/>
      <c r="D262" s="8" t="str">
        <f t="shared" si="70"/>
        <v/>
      </c>
      <c r="E262" s="39"/>
    </row>
    <row r="263" spans="1:5" ht="31">
      <c r="A263" s="6">
        <f t="shared" si="71"/>
        <v>175</v>
      </c>
      <c r="B263" s="7" t="s">
        <v>279</v>
      </c>
      <c r="C263" s="19"/>
      <c r="D263" s="8" t="str">
        <f t="shared" si="70"/>
        <v/>
      </c>
      <c r="E263" s="39"/>
    </row>
    <row r="264" spans="1:5" ht="30" customHeight="1">
      <c r="A264" s="6">
        <f t="shared" si="71"/>
        <v>176</v>
      </c>
      <c r="B264" s="7" t="s">
        <v>280</v>
      </c>
      <c r="C264" s="19"/>
      <c r="D264" s="8" t="str">
        <f t="shared" si="70"/>
        <v/>
      </c>
      <c r="E264" s="39"/>
    </row>
    <row r="265" spans="1:5" ht="30" customHeight="1">
      <c r="A265" s="6">
        <f t="shared" si="71"/>
        <v>177</v>
      </c>
      <c r="B265" s="7" t="s">
        <v>281</v>
      </c>
      <c r="C265" s="19"/>
      <c r="D265" s="8" t="str">
        <f t="shared" si="70"/>
        <v/>
      </c>
      <c r="E265" s="39"/>
    </row>
    <row r="266" spans="1:5" ht="28" customHeight="1">
      <c r="A266" s="6">
        <f t="shared" si="71"/>
        <v>178</v>
      </c>
      <c r="B266" s="7" t="s">
        <v>282</v>
      </c>
      <c r="C266" s="19"/>
      <c r="D266" s="8" t="str">
        <f t="shared" si="70"/>
        <v/>
      </c>
      <c r="E266" s="39"/>
    </row>
    <row r="267" spans="1:5" ht="31">
      <c r="A267" s="6">
        <f t="shared" si="71"/>
        <v>179</v>
      </c>
      <c r="B267" s="7" t="s">
        <v>520</v>
      </c>
      <c r="C267" s="19"/>
      <c r="D267" s="8" t="str">
        <f t="shared" si="70"/>
        <v/>
      </c>
      <c r="E267" s="39"/>
    </row>
    <row r="268" spans="1:5" ht="31">
      <c r="A268" s="6">
        <f t="shared" si="71"/>
        <v>180</v>
      </c>
      <c r="B268" s="7" t="s">
        <v>283</v>
      </c>
      <c r="C268" s="6"/>
      <c r="D268" s="8" t="str">
        <f t="shared" si="70"/>
        <v/>
      </c>
      <c r="E268" s="39"/>
    </row>
    <row r="269" spans="1:5" ht="29.15" customHeight="1" thickBot="1">
      <c r="A269" s="12"/>
      <c r="B269" s="18"/>
      <c r="C269" s="16">
        <f>SUM(C261:C268)</f>
        <v>0</v>
      </c>
      <c r="D269" s="16">
        <f>+COUNT(C261:C268)*2</f>
        <v>0</v>
      </c>
      <c r="E269" s="11" t="str">
        <f>+IF(C262="","",C269/D269)</f>
        <v/>
      </c>
    </row>
    <row r="270" spans="1:5" ht="23.15" customHeight="1">
      <c r="A270" s="34" t="s">
        <v>284</v>
      </c>
      <c r="B270" s="33" t="s">
        <v>285</v>
      </c>
    </row>
    <row r="271" spans="1:5" ht="28" customHeight="1">
      <c r="A271" s="6">
        <f>1+A268</f>
        <v>181</v>
      </c>
      <c r="B271" s="7" t="s">
        <v>286</v>
      </c>
      <c r="C271" s="19"/>
      <c r="D271" s="8" t="str">
        <f t="shared" ref="D271:D272" si="72">+IF(C271="","",+IF(C271=0,"No Cumple",+IF(C271=1,"Cumple Parcial",+IF(C271=2,"Cumple Completo",+IF(C271="N","NA")))))</f>
        <v/>
      </c>
      <c r="E271" s="39"/>
    </row>
    <row r="272" spans="1:5" ht="28" customHeight="1">
      <c r="A272" s="6">
        <f t="shared" ref="A272" si="73">1+A271</f>
        <v>182</v>
      </c>
      <c r="B272" s="7" t="s">
        <v>287</v>
      </c>
      <c r="C272" s="6"/>
      <c r="D272" s="8" t="str">
        <f t="shared" si="72"/>
        <v/>
      </c>
      <c r="E272" s="39"/>
    </row>
    <row r="273" spans="1:5" ht="29.15" customHeight="1" thickBot="1">
      <c r="A273" s="12"/>
      <c r="B273" s="18"/>
      <c r="C273" s="16">
        <f>SUM(C271:C272)</f>
        <v>0</v>
      </c>
      <c r="D273" s="16">
        <f>+COUNT(C271:C272)*2</f>
        <v>0</v>
      </c>
      <c r="E273" s="11" t="str">
        <f>+IF(C271="","",C273/D273)</f>
        <v/>
      </c>
    </row>
    <row r="274" spans="1:5" ht="23.15" customHeight="1">
      <c r="A274" s="34" t="s">
        <v>42</v>
      </c>
      <c r="B274" s="33" t="s">
        <v>288</v>
      </c>
    </row>
    <row r="275" spans="1:5" ht="46.5">
      <c r="A275" s="6">
        <f>1+A272</f>
        <v>183</v>
      </c>
      <c r="B275" s="7" t="s">
        <v>521</v>
      </c>
      <c r="C275" s="6"/>
      <c r="D275" s="8" t="str">
        <f t="shared" ref="D275" si="74">+IF(C275="","",+IF(C275=0,"No Cumple",+IF(C275=1,"Cumple Parcial",+IF(C275=2,"Cumple Completo",+IF(C275="N","NA")))))</f>
        <v/>
      </c>
      <c r="E275" s="39"/>
    </row>
    <row r="276" spans="1:5" ht="29.15" customHeight="1" thickBot="1">
      <c r="A276" s="12"/>
      <c r="B276" s="18"/>
      <c r="C276" s="16">
        <f>SUM(C275:C275)</f>
        <v>0</v>
      </c>
      <c r="D276" s="16">
        <f>+COUNT(C275:C275)*2</f>
        <v>0</v>
      </c>
      <c r="E276" s="11" t="str">
        <f>+IF(C275="","",C276/D276)</f>
        <v/>
      </c>
    </row>
    <row r="277" spans="1:5" ht="23.15" customHeight="1">
      <c r="A277" s="35" t="s">
        <v>43</v>
      </c>
      <c r="B277" s="32" t="s">
        <v>289</v>
      </c>
    </row>
    <row r="278" spans="1:5" ht="23.15" customHeight="1">
      <c r="A278" s="34" t="s">
        <v>290</v>
      </c>
      <c r="B278" s="33" t="s">
        <v>10</v>
      </c>
    </row>
    <row r="279" spans="1:5" ht="31">
      <c r="A279" s="6">
        <f>1+A275</f>
        <v>184</v>
      </c>
      <c r="B279" s="7" t="s">
        <v>291</v>
      </c>
      <c r="C279" s="6"/>
      <c r="D279" s="8" t="str">
        <f t="shared" ref="D279" si="75">+IF(C279="","",+IF(C279=0,"No Cumple",+IF(C279=1,"Cumple Parcial",+IF(C279=2,"Cumple Completo",+IF(C279="N","NA")))))</f>
        <v/>
      </c>
      <c r="E279" s="39"/>
    </row>
    <row r="280" spans="1:5" ht="29.15" customHeight="1" thickBot="1">
      <c r="A280" s="12"/>
      <c r="B280" s="18"/>
      <c r="C280" s="16">
        <f>SUM(C279:C279)</f>
        <v>0</v>
      </c>
      <c r="D280" s="16">
        <f>+COUNT(C279:C279)*2</f>
        <v>0</v>
      </c>
      <c r="E280" s="40" t="str">
        <f>+IF(C279="","",C280/D280)</f>
        <v/>
      </c>
    </row>
    <row r="281" spans="1:5" ht="23.15" customHeight="1">
      <c r="A281" s="34" t="s">
        <v>293</v>
      </c>
      <c r="B281" s="33" t="s">
        <v>294</v>
      </c>
    </row>
    <row r="282" spans="1:5" ht="26.15" customHeight="1">
      <c r="A282" s="6">
        <f>1+A279</f>
        <v>185</v>
      </c>
      <c r="B282" s="7" t="s">
        <v>295</v>
      </c>
      <c r="C282" s="19"/>
      <c r="D282" s="8" t="str">
        <f t="shared" ref="D282:D292" si="76">+IF(C282="","",+IF(C282=0,"No Cumple",+IF(C282=1,"Cumple Parcial",+IF(C282=2,"Cumple Completo",+IF(C282="N","NA")))))</f>
        <v/>
      </c>
      <c r="E282" s="39"/>
    </row>
    <row r="283" spans="1:5" ht="26.15" customHeight="1">
      <c r="A283" s="6">
        <f>1+A282</f>
        <v>186</v>
      </c>
      <c r="B283" s="7" t="s">
        <v>296</v>
      </c>
      <c r="C283" s="19"/>
      <c r="D283" s="8" t="str">
        <f t="shared" si="76"/>
        <v/>
      </c>
      <c r="E283" s="39"/>
    </row>
    <row r="284" spans="1:5" ht="26.15" customHeight="1">
      <c r="A284" s="6">
        <f t="shared" ref="A284:A292" si="77">1+A283</f>
        <v>187</v>
      </c>
      <c r="B284" s="7" t="s">
        <v>522</v>
      </c>
      <c r="C284" s="19"/>
      <c r="D284" s="8" t="str">
        <f t="shared" si="76"/>
        <v/>
      </c>
      <c r="E284" s="39"/>
    </row>
    <row r="285" spans="1:5" ht="26.15" customHeight="1">
      <c r="A285" s="6">
        <f t="shared" si="77"/>
        <v>188</v>
      </c>
      <c r="B285" s="7" t="s">
        <v>297</v>
      </c>
      <c r="C285" s="19"/>
      <c r="D285" s="8" t="str">
        <f t="shared" si="76"/>
        <v/>
      </c>
      <c r="E285" s="39"/>
    </row>
    <row r="286" spans="1:5" ht="26.15" customHeight="1">
      <c r="A286" s="6">
        <f t="shared" si="77"/>
        <v>189</v>
      </c>
      <c r="B286" s="7" t="s">
        <v>298</v>
      </c>
      <c r="C286" s="19"/>
      <c r="D286" s="8" t="str">
        <f t="shared" si="76"/>
        <v/>
      </c>
      <c r="E286" s="39"/>
    </row>
    <row r="287" spans="1:5" ht="26.15" customHeight="1">
      <c r="A287" s="6">
        <f t="shared" si="77"/>
        <v>190</v>
      </c>
      <c r="B287" s="7" t="s">
        <v>299</v>
      </c>
      <c r="C287" s="19"/>
      <c r="D287" s="8" t="str">
        <f t="shared" si="76"/>
        <v/>
      </c>
      <c r="E287" s="39"/>
    </row>
    <row r="288" spans="1:5" ht="31">
      <c r="A288" s="6">
        <f t="shared" si="77"/>
        <v>191</v>
      </c>
      <c r="B288" s="7" t="s">
        <v>300</v>
      </c>
      <c r="C288" s="19"/>
      <c r="D288" s="8" t="str">
        <f t="shared" si="76"/>
        <v/>
      </c>
      <c r="E288" s="39"/>
    </row>
    <row r="289" spans="1:5" ht="26.15" customHeight="1">
      <c r="A289" s="6">
        <f t="shared" si="77"/>
        <v>192</v>
      </c>
      <c r="B289" s="7" t="s">
        <v>301</v>
      </c>
      <c r="C289" s="19"/>
      <c r="D289" s="8" t="str">
        <f t="shared" si="76"/>
        <v/>
      </c>
      <c r="E289" s="39"/>
    </row>
    <row r="290" spans="1:5" ht="26.15" customHeight="1">
      <c r="A290" s="6">
        <f t="shared" si="77"/>
        <v>193</v>
      </c>
      <c r="B290" s="7" t="s">
        <v>302</v>
      </c>
      <c r="C290" s="19"/>
      <c r="D290" s="8" t="str">
        <f t="shared" si="76"/>
        <v/>
      </c>
      <c r="E290" s="39"/>
    </row>
    <row r="291" spans="1:5" ht="31">
      <c r="A291" s="6">
        <f t="shared" si="77"/>
        <v>194</v>
      </c>
      <c r="B291" s="7" t="s">
        <v>303</v>
      </c>
      <c r="C291" s="19"/>
      <c r="D291" s="8" t="str">
        <f t="shared" si="76"/>
        <v/>
      </c>
      <c r="E291" s="39"/>
    </row>
    <row r="292" spans="1:5" ht="26.15" customHeight="1">
      <c r="A292" s="6">
        <f t="shared" si="77"/>
        <v>195</v>
      </c>
      <c r="B292" s="7" t="s">
        <v>304</v>
      </c>
      <c r="C292" s="6"/>
      <c r="D292" s="8" t="str">
        <f t="shared" si="76"/>
        <v/>
      </c>
      <c r="E292" s="39"/>
    </row>
    <row r="293" spans="1:5" ht="29.15" customHeight="1" thickBot="1">
      <c r="A293" s="12"/>
      <c r="B293" s="18"/>
      <c r="C293" s="16">
        <f>SUM(C282:C292)</f>
        <v>0</v>
      </c>
      <c r="D293" s="16">
        <f>+COUNT(C282:C292)*2</f>
        <v>0</v>
      </c>
      <c r="E293" s="11" t="str">
        <f>+IF(C283="","",C293/D293)</f>
        <v/>
      </c>
    </row>
    <row r="294" spans="1:5" ht="23.15" customHeight="1">
      <c r="A294" s="34" t="s">
        <v>305</v>
      </c>
      <c r="B294" s="33" t="s">
        <v>306</v>
      </c>
    </row>
    <row r="295" spans="1:5" ht="31">
      <c r="A295" s="6">
        <f>1+A292</f>
        <v>196</v>
      </c>
      <c r="B295" s="7" t="s">
        <v>307</v>
      </c>
      <c r="C295" s="6"/>
      <c r="D295" s="8" t="str">
        <f t="shared" ref="D295:D303" si="78">+IF(C295="","",+IF(C295=0,"No Cumple",+IF(C295=1,"Cumple Parcial",+IF(C295=2,"Cumple Completo",+IF(C295="N","NA")))))</f>
        <v/>
      </c>
      <c r="E295" s="39"/>
    </row>
    <row r="296" spans="1:5" ht="25" customHeight="1">
      <c r="A296" s="6">
        <f>1+A295</f>
        <v>197</v>
      </c>
      <c r="B296" s="7" t="s">
        <v>308</v>
      </c>
      <c r="C296" s="6"/>
      <c r="D296" s="8" t="str">
        <f t="shared" si="78"/>
        <v/>
      </c>
      <c r="E296" s="39"/>
    </row>
    <row r="297" spans="1:5" ht="30" customHeight="1">
      <c r="A297" s="6">
        <f t="shared" ref="A297:A303" si="79">1+A296</f>
        <v>198</v>
      </c>
      <c r="B297" s="7" t="s">
        <v>309</v>
      </c>
      <c r="C297" s="6"/>
      <c r="D297" s="8" t="str">
        <f t="shared" si="78"/>
        <v/>
      </c>
      <c r="E297" s="39"/>
    </row>
    <row r="298" spans="1:5" ht="30" customHeight="1">
      <c r="A298" s="6">
        <f t="shared" si="79"/>
        <v>199</v>
      </c>
      <c r="B298" s="7" t="s">
        <v>310</v>
      </c>
      <c r="C298" s="6"/>
      <c r="D298" s="8" t="str">
        <f t="shared" si="78"/>
        <v/>
      </c>
      <c r="E298" s="39"/>
    </row>
    <row r="299" spans="1:5" ht="30" customHeight="1">
      <c r="A299" s="6">
        <f t="shared" si="79"/>
        <v>200</v>
      </c>
      <c r="B299" s="7" t="s">
        <v>311</v>
      </c>
      <c r="C299" s="6"/>
      <c r="D299" s="8" t="str">
        <f t="shared" si="78"/>
        <v/>
      </c>
      <c r="E299" s="39"/>
    </row>
    <row r="300" spans="1:5" ht="30" customHeight="1">
      <c r="A300" s="6">
        <f t="shared" si="79"/>
        <v>201</v>
      </c>
      <c r="B300" s="7" t="s">
        <v>312</v>
      </c>
      <c r="C300" s="19"/>
      <c r="D300" s="8" t="str">
        <f t="shared" si="78"/>
        <v/>
      </c>
      <c r="E300" s="39"/>
    </row>
    <row r="301" spans="1:5" ht="30" customHeight="1">
      <c r="A301" s="6">
        <f t="shared" si="79"/>
        <v>202</v>
      </c>
      <c r="B301" s="7" t="s">
        <v>313</v>
      </c>
      <c r="C301" s="19"/>
      <c r="D301" s="8" t="str">
        <f t="shared" si="78"/>
        <v/>
      </c>
      <c r="E301" s="39"/>
    </row>
    <row r="302" spans="1:5" ht="30" customHeight="1">
      <c r="A302" s="6">
        <f t="shared" si="79"/>
        <v>203</v>
      </c>
      <c r="B302" s="7" t="s">
        <v>523</v>
      </c>
      <c r="C302" s="19"/>
      <c r="D302" s="8" t="str">
        <f t="shared" si="78"/>
        <v/>
      </c>
      <c r="E302" s="39"/>
    </row>
    <row r="303" spans="1:5" ht="26.15" customHeight="1">
      <c r="A303" s="6">
        <f t="shared" si="79"/>
        <v>204</v>
      </c>
      <c r="B303" s="31" t="s">
        <v>323</v>
      </c>
      <c r="C303" s="6"/>
      <c r="D303" s="8" t="str">
        <f t="shared" si="78"/>
        <v/>
      </c>
      <c r="E303" s="39"/>
    </row>
    <row r="304" spans="1:5" ht="29.15" customHeight="1" thickBot="1">
      <c r="A304" s="12"/>
      <c r="B304" s="18"/>
      <c r="C304" s="16">
        <f>SUM(C295:C303)</f>
        <v>0</v>
      </c>
      <c r="D304" s="16">
        <f>+COUNT(C295:C303)*2</f>
        <v>0</v>
      </c>
      <c r="E304" s="11" t="str">
        <f>+IF(C295="","",C304/D304)</f>
        <v/>
      </c>
    </row>
    <row r="305" spans="1:5" ht="23.15" customHeight="1">
      <c r="A305" s="34" t="s">
        <v>314</v>
      </c>
      <c r="B305" s="33" t="s">
        <v>331</v>
      </c>
    </row>
    <row r="306" spans="1:5" ht="26.15" customHeight="1">
      <c r="A306" s="6">
        <f>1+A303</f>
        <v>205</v>
      </c>
      <c r="B306" s="7" t="s">
        <v>524</v>
      </c>
      <c r="C306" s="19"/>
      <c r="D306" s="8" t="str">
        <f t="shared" ref="D306:D312" si="80">+IF(C306="","",+IF(C306=0,"No Cumple",+IF(C306=1,"Cumple Parcial",+IF(C306=2,"Cumple Completo",+IF(C306="N","NA")))))</f>
        <v/>
      </c>
      <c r="E306" s="39"/>
    </row>
    <row r="307" spans="1:5" ht="26.15" customHeight="1">
      <c r="A307" s="6">
        <f t="shared" ref="A307:A312" si="81">1+A306</f>
        <v>206</v>
      </c>
      <c r="B307" s="7" t="s">
        <v>316</v>
      </c>
      <c r="C307" s="19"/>
      <c r="D307" s="8" t="str">
        <f t="shared" si="80"/>
        <v/>
      </c>
      <c r="E307" s="39"/>
    </row>
    <row r="308" spans="1:5" ht="31">
      <c r="A308" s="6">
        <f t="shared" si="81"/>
        <v>207</v>
      </c>
      <c r="B308" s="7" t="s">
        <v>317</v>
      </c>
      <c r="C308" s="19"/>
      <c r="D308" s="8" t="str">
        <f t="shared" si="80"/>
        <v/>
      </c>
      <c r="E308" s="39"/>
    </row>
    <row r="309" spans="1:5" ht="31">
      <c r="A309" s="6">
        <f t="shared" si="81"/>
        <v>208</v>
      </c>
      <c r="B309" s="7" t="s">
        <v>315</v>
      </c>
      <c r="C309" s="19"/>
      <c r="D309" s="8" t="str">
        <f t="shared" si="80"/>
        <v/>
      </c>
      <c r="E309" s="39"/>
    </row>
    <row r="310" spans="1:5" ht="31">
      <c r="A310" s="6">
        <f t="shared" si="81"/>
        <v>209</v>
      </c>
      <c r="B310" s="7" t="s">
        <v>318</v>
      </c>
      <c r="C310" s="19"/>
      <c r="D310" s="8" t="str">
        <f t="shared" si="80"/>
        <v/>
      </c>
      <c r="E310" s="39"/>
    </row>
    <row r="311" spans="1:5" ht="31">
      <c r="A311" s="6">
        <f t="shared" si="81"/>
        <v>210</v>
      </c>
      <c r="B311" s="7" t="s">
        <v>319</v>
      </c>
      <c r="C311" s="19"/>
      <c r="D311" s="8" t="str">
        <f t="shared" si="80"/>
        <v/>
      </c>
      <c r="E311" s="39"/>
    </row>
    <row r="312" spans="1:5" ht="26.15" customHeight="1">
      <c r="A312" s="6">
        <f t="shared" si="81"/>
        <v>211</v>
      </c>
      <c r="B312" s="7" t="s">
        <v>320</v>
      </c>
      <c r="C312" s="6"/>
      <c r="D312" s="8" t="str">
        <f t="shared" si="80"/>
        <v/>
      </c>
      <c r="E312" s="39"/>
    </row>
    <row r="313" spans="1:5" ht="29.15" customHeight="1" thickBot="1">
      <c r="A313" s="12"/>
      <c r="B313" s="18"/>
      <c r="C313" s="16">
        <f>SUM(C306:C312)</f>
        <v>0</v>
      </c>
      <c r="D313" s="16">
        <f>+COUNT(C306:C312)*2</f>
        <v>0</v>
      </c>
      <c r="E313" s="11" t="str">
        <f>+IF(C306="","",C313/D313)</f>
        <v/>
      </c>
    </row>
    <row r="314" spans="1:5" ht="23.15" customHeight="1">
      <c r="A314" s="34" t="s">
        <v>321</v>
      </c>
      <c r="B314" s="33" t="s">
        <v>322</v>
      </c>
    </row>
    <row r="315" spans="1:5" ht="46.5">
      <c r="A315" s="6">
        <f>1+A312</f>
        <v>212</v>
      </c>
      <c r="B315" s="7" t="s">
        <v>525</v>
      </c>
      <c r="C315" s="19"/>
      <c r="D315" s="8" t="str">
        <f t="shared" ref="D315:D320" si="82">+IF(C315="","",+IF(C315=0,"No Cumple",+IF(C315=1,"Cumple Parcial",+IF(C315=2,"Cumple Completo",+IF(C315="N","NA")))))</f>
        <v/>
      </c>
      <c r="E315" s="39"/>
    </row>
    <row r="316" spans="1:5" ht="26.15" customHeight="1">
      <c r="A316" s="6">
        <f t="shared" ref="A316:A320" si="83">1+A315</f>
        <v>213</v>
      </c>
      <c r="B316" s="7" t="s">
        <v>326</v>
      </c>
      <c r="C316" s="19"/>
      <c r="D316" s="8" t="str">
        <f t="shared" si="82"/>
        <v/>
      </c>
      <c r="E316" s="39"/>
    </row>
    <row r="317" spans="1:5" ht="26.15" customHeight="1">
      <c r="A317" s="6">
        <f t="shared" si="83"/>
        <v>214</v>
      </c>
      <c r="B317" s="7" t="s">
        <v>526</v>
      </c>
      <c r="C317" s="19"/>
      <c r="D317" s="8" t="str">
        <f t="shared" si="82"/>
        <v/>
      </c>
      <c r="E317" s="39"/>
    </row>
    <row r="318" spans="1:5" ht="26.15" customHeight="1">
      <c r="A318" s="6">
        <f t="shared" si="83"/>
        <v>215</v>
      </c>
      <c r="B318" s="7" t="s">
        <v>327</v>
      </c>
      <c r="C318" s="19"/>
      <c r="D318" s="8" t="str">
        <f t="shared" si="82"/>
        <v/>
      </c>
      <c r="E318" s="39"/>
    </row>
    <row r="319" spans="1:5" ht="26.15" customHeight="1">
      <c r="A319" s="6">
        <f t="shared" si="83"/>
        <v>216</v>
      </c>
      <c r="B319" s="7" t="s">
        <v>328</v>
      </c>
      <c r="C319" s="19"/>
      <c r="D319" s="8" t="str">
        <f t="shared" si="82"/>
        <v/>
      </c>
      <c r="E319" s="39"/>
    </row>
    <row r="320" spans="1:5" ht="26.15" customHeight="1">
      <c r="A320" s="6">
        <f t="shared" si="83"/>
        <v>217</v>
      </c>
      <c r="B320" s="7" t="s">
        <v>329</v>
      </c>
      <c r="C320" s="6"/>
      <c r="D320" s="8" t="str">
        <f t="shared" si="82"/>
        <v/>
      </c>
      <c r="E320" s="39"/>
    </row>
    <row r="321" spans="1:5" ht="29.15" customHeight="1" thickBot="1">
      <c r="A321" s="12"/>
      <c r="B321" s="18"/>
      <c r="C321" s="16">
        <f>SUM(C315:C320)</f>
        <v>0</v>
      </c>
      <c r="D321" s="16">
        <f>+COUNT(C315:C320)*2</f>
        <v>0</v>
      </c>
      <c r="E321" s="11" t="str">
        <f>+IF(C315="","",C321/D321)</f>
        <v/>
      </c>
    </row>
    <row r="322" spans="1:5" ht="23.15" customHeight="1">
      <c r="A322" s="34" t="s">
        <v>324</v>
      </c>
      <c r="B322" s="33" t="s">
        <v>325</v>
      </c>
    </row>
    <row r="323" spans="1:5" ht="26.15" customHeight="1">
      <c r="A323" s="6">
        <f>1+A320</f>
        <v>218</v>
      </c>
      <c r="B323" s="7" t="s">
        <v>49</v>
      </c>
      <c r="C323" s="19"/>
      <c r="D323" s="8" t="str">
        <f t="shared" ref="D323:D325" si="84">+IF(C323="","",+IF(C323=0,"No Cumple",+IF(C323=1,"Cumple Parcial",+IF(C323=2,"Cumple Completo",+IF(C323="N","NA")))))</f>
        <v/>
      </c>
      <c r="E323" s="39"/>
    </row>
    <row r="324" spans="1:5" ht="26.15" customHeight="1">
      <c r="A324" s="6">
        <f t="shared" ref="A324:A325" si="85">1+A323</f>
        <v>219</v>
      </c>
      <c r="B324" s="7" t="s">
        <v>47</v>
      </c>
      <c r="C324" s="19"/>
      <c r="D324" s="8" t="str">
        <f t="shared" si="84"/>
        <v/>
      </c>
      <c r="E324" s="39"/>
    </row>
    <row r="325" spans="1:5" ht="31">
      <c r="A325" s="6">
        <f t="shared" si="85"/>
        <v>220</v>
      </c>
      <c r="B325" s="7" t="s">
        <v>46</v>
      </c>
      <c r="C325" s="6"/>
      <c r="D325" s="8" t="str">
        <f t="shared" si="84"/>
        <v/>
      </c>
      <c r="E325" s="39"/>
    </row>
    <row r="326" spans="1:5" ht="29.15" customHeight="1" thickBot="1">
      <c r="A326" s="12"/>
      <c r="B326" s="18"/>
      <c r="C326" s="16">
        <f>SUM(C323:C325)</f>
        <v>0</v>
      </c>
      <c r="D326" s="16">
        <f>+COUNT(C323:C325)*2</f>
        <v>0</v>
      </c>
      <c r="E326" s="11" t="str">
        <f>+IF(C323="","",C326/D326)</f>
        <v/>
      </c>
    </row>
    <row r="327" spans="1:5" ht="23.15" customHeight="1">
      <c r="A327" s="35" t="s">
        <v>44</v>
      </c>
      <c r="B327" s="32" t="s">
        <v>330</v>
      </c>
    </row>
    <row r="328" spans="1:5" ht="23.15" customHeight="1">
      <c r="A328" s="34" t="s">
        <v>332</v>
      </c>
      <c r="B328" s="33" t="s">
        <v>10</v>
      </c>
    </row>
    <row r="329" spans="1:5" ht="31">
      <c r="A329" s="6">
        <f>1+A324</f>
        <v>220</v>
      </c>
      <c r="B329" s="7" t="s">
        <v>333</v>
      </c>
      <c r="C329" s="19"/>
      <c r="D329" s="8" t="str">
        <f t="shared" ref="D329:D334" si="86">+IF(C329="","",+IF(C329=0,"No Cumple",+IF(C329=1,"Cumple Parcial",+IF(C329=2,"Cumple Completo",+IF(C329="N","NA")))))</f>
        <v/>
      </c>
      <c r="E329" s="39"/>
    </row>
    <row r="330" spans="1:5" ht="31">
      <c r="A330" s="6">
        <f t="shared" ref="A330:A334" si="87">1+A329</f>
        <v>221</v>
      </c>
      <c r="B330" s="7" t="s">
        <v>334</v>
      </c>
      <c r="C330" s="19"/>
      <c r="D330" s="8" t="str">
        <f t="shared" si="86"/>
        <v/>
      </c>
      <c r="E330" s="39"/>
    </row>
    <row r="331" spans="1:5" ht="31">
      <c r="A331" s="6">
        <f t="shared" si="87"/>
        <v>222</v>
      </c>
      <c r="B331" s="7" t="s">
        <v>335</v>
      </c>
      <c r="C331" s="19"/>
      <c r="D331" s="8" t="str">
        <f t="shared" si="86"/>
        <v/>
      </c>
      <c r="E331" s="39"/>
    </row>
    <row r="332" spans="1:5" ht="31">
      <c r="A332" s="6">
        <f t="shared" si="87"/>
        <v>223</v>
      </c>
      <c r="B332" s="7" t="s">
        <v>336</v>
      </c>
      <c r="C332" s="19"/>
      <c r="D332" s="8" t="str">
        <f t="shared" si="86"/>
        <v/>
      </c>
      <c r="E332" s="39"/>
    </row>
    <row r="333" spans="1:5" ht="31">
      <c r="A333" s="6">
        <f t="shared" si="87"/>
        <v>224</v>
      </c>
      <c r="B333" s="7" t="s">
        <v>527</v>
      </c>
      <c r="C333" s="19"/>
      <c r="D333" s="8" t="str">
        <f t="shared" si="86"/>
        <v/>
      </c>
      <c r="E333" s="39"/>
    </row>
    <row r="334" spans="1:5" ht="62">
      <c r="A334" s="6">
        <f t="shared" si="87"/>
        <v>225</v>
      </c>
      <c r="B334" s="7" t="s">
        <v>337</v>
      </c>
      <c r="C334" s="6"/>
      <c r="D334" s="8" t="str">
        <f t="shared" si="86"/>
        <v/>
      </c>
      <c r="E334" s="39"/>
    </row>
    <row r="335" spans="1:5" ht="29.15" customHeight="1" thickBot="1">
      <c r="A335" s="12"/>
      <c r="B335" s="18"/>
      <c r="C335" s="16">
        <f>SUM(C329:C334)</f>
        <v>0</v>
      </c>
      <c r="D335" s="16">
        <f>+COUNT(C329:C334)*2</f>
        <v>0</v>
      </c>
      <c r="E335" s="11" t="str">
        <f>+IF(C329="","",C335/D335)</f>
        <v/>
      </c>
    </row>
    <row r="336" spans="1:5" ht="23.15" customHeight="1">
      <c r="A336" s="34" t="s">
        <v>338</v>
      </c>
      <c r="B336" s="33" t="s">
        <v>339</v>
      </c>
    </row>
    <row r="337" spans="1:5" ht="46.5">
      <c r="A337" s="6">
        <f>1+A334</f>
        <v>226</v>
      </c>
      <c r="B337" s="7" t="s">
        <v>528</v>
      </c>
      <c r="C337" s="19"/>
      <c r="D337" s="8" t="str">
        <f t="shared" ref="D337:D344" si="88">+IF(C337="","",+IF(C337=0,"No Cumple",+IF(C337=1,"Cumple Parcial",+IF(C337=2,"Cumple Completo",+IF(C337="N","NA")))))</f>
        <v/>
      </c>
      <c r="E337" s="39"/>
    </row>
    <row r="338" spans="1:5" ht="26.15" customHeight="1">
      <c r="A338" s="6">
        <f t="shared" ref="A338:A344" si="89">1+A337</f>
        <v>227</v>
      </c>
      <c r="B338" s="7" t="s">
        <v>197</v>
      </c>
      <c r="C338" s="19"/>
      <c r="D338" s="8" t="str">
        <f t="shared" si="88"/>
        <v/>
      </c>
      <c r="E338" s="39"/>
    </row>
    <row r="339" spans="1:5" ht="26.15" customHeight="1">
      <c r="A339" s="6">
        <f t="shared" si="89"/>
        <v>228</v>
      </c>
      <c r="B339" s="7" t="s">
        <v>342</v>
      </c>
      <c r="C339" s="19"/>
      <c r="D339" s="8" t="str">
        <f t="shared" si="88"/>
        <v/>
      </c>
      <c r="E339" s="39"/>
    </row>
    <row r="340" spans="1:5" ht="31">
      <c r="A340" s="6">
        <f t="shared" si="89"/>
        <v>229</v>
      </c>
      <c r="B340" s="7" t="s">
        <v>343</v>
      </c>
      <c r="C340" s="19"/>
      <c r="D340" s="8" t="str">
        <f t="shared" si="88"/>
        <v/>
      </c>
      <c r="E340" s="39"/>
    </row>
    <row r="341" spans="1:5" ht="27" customHeight="1">
      <c r="A341" s="6">
        <f t="shared" si="89"/>
        <v>230</v>
      </c>
      <c r="B341" s="7" t="s">
        <v>344</v>
      </c>
      <c r="C341" s="19"/>
      <c r="D341" s="8" t="str">
        <f t="shared" si="88"/>
        <v/>
      </c>
      <c r="E341" s="39"/>
    </row>
    <row r="342" spans="1:5" ht="31">
      <c r="A342" s="6">
        <f t="shared" si="89"/>
        <v>231</v>
      </c>
      <c r="B342" s="7" t="s">
        <v>529</v>
      </c>
      <c r="C342" s="19"/>
      <c r="D342" s="8" t="str">
        <f t="shared" si="88"/>
        <v/>
      </c>
      <c r="E342" s="39"/>
    </row>
    <row r="343" spans="1:5" ht="27" customHeight="1">
      <c r="A343" s="6">
        <f t="shared" si="89"/>
        <v>232</v>
      </c>
      <c r="B343" s="7" t="s">
        <v>345</v>
      </c>
      <c r="C343" s="19"/>
      <c r="D343" s="8" t="str">
        <f t="shared" si="88"/>
        <v/>
      </c>
      <c r="E343" s="39"/>
    </row>
    <row r="344" spans="1:5" ht="31">
      <c r="A344" s="6">
        <f t="shared" si="89"/>
        <v>233</v>
      </c>
      <c r="B344" s="7" t="s">
        <v>346</v>
      </c>
      <c r="C344" s="6"/>
      <c r="D344" s="8" t="str">
        <f t="shared" si="88"/>
        <v/>
      </c>
      <c r="E344" s="39"/>
    </row>
    <row r="345" spans="1:5" ht="29.15" customHeight="1" thickBot="1">
      <c r="A345" s="12"/>
      <c r="B345" s="18"/>
      <c r="C345" s="16">
        <f>SUM(C337:C344)</f>
        <v>0</v>
      </c>
      <c r="D345" s="16">
        <f>+COUNT(C337:C344)*2</f>
        <v>0</v>
      </c>
      <c r="E345" s="11" t="str">
        <f>+IF(C337="","",C345/D345)</f>
        <v/>
      </c>
    </row>
    <row r="346" spans="1:5" ht="23.15" customHeight="1">
      <c r="A346" s="34" t="s">
        <v>340</v>
      </c>
      <c r="B346" s="33" t="s">
        <v>341</v>
      </c>
    </row>
    <row r="347" spans="1:5" ht="30" customHeight="1">
      <c r="A347" s="6">
        <f>1+A344</f>
        <v>234</v>
      </c>
      <c r="B347" s="7" t="s">
        <v>349</v>
      </c>
      <c r="C347" s="19"/>
      <c r="D347" s="8" t="str">
        <f t="shared" ref="D347:D357" si="90">+IF(C347="","",+IF(C347=0,"No Cumple",+IF(C347=1,"Cumple Parcial",+IF(C347=2,"Cumple Completo",+IF(C347="N","NA")))))</f>
        <v/>
      </c>
      <c r="E347" s="39"/>
    </row>
    <row r="348" spans="1:5" ht="30" customHeight="1">
      <c r="A348" s="6">
        <f t="shared" ref="A348:A357" si="91">1+A347</f>
        <v>235</v>
      </c>
      <c r="B348" s="7" t="s">
        <v>347</v>
      </c>
      <c r="C348" s="19"/>
      <c r="D348" s="8" t="str">
        <f t="shared" si="90"/>
        <v/>
      </c>
      <c r="E348" s="39"/>
    </row>
    <row r="349" spans="1:5" ht="30" customHeight="1">
      <c r="A349" s="6">
        <f t="shared" si="91"/>
        <v>236</v>
      </c>
      <c r="B349" s="7" t="s">
        <v>348</v>
      </c>
      <c r="C349" s="19"/>
      <c r="D349" s="8" t="str">
        <f t="shared" si="90"/>
        <v/>
      </c>
      <c r="E349" s="39"/>
    </row>
    <row r="350" spans="1:5" ht="30" customHeight="1">
      <c r="A350" s="6">
        <f t="shared" si="91"/>
        <v>237</v>
      </c>
      <c r="B350" s="7" t="s">
        <v>350</v>
      </c>
      <c r="C350" s="19"/>
      <c r="D350" s="8" t="str">
        <f t="shared" si="90"/>
        <v/>
      </c>
      <c r="E350" s="39"/>
    </row>
    <row r="351" spans="1:5" ht="30" customHeight="1">
      <c r="A351" s="6">
        <f t="shared" si="91"/>
        <v>238</v>
      </c>
      <c r="B351" s="7" t="s">
        <v>351</v>
      </c>
      <c r="C351" s="19"/>
      <c r="D351" s="8" t="str">
        <f t="shared" si="90"/>
        <v/>
      </c>
      <c r="E351" s="39"/>
    </row>
    <row r="352" spans="1:5" ht="30" customHeight="1">
      <c r="A352" s="6">
        <f t="shared" si="91"/>
        <v>239</v>
      </c>
      <c r="B352" s="7" t="s">
        <v>352</v>
      </c>
      <c r="C352" s="19"/>
      <c r="D352" s="8" t="str">
        <f t="shared" si="90"/>
        <v/>
      </c>
      <c r="E352" s="39"/>
    </row>
    <row r="353" spans="1:5" ht="30" customHeight="1">
      <c r="A353" s="6">
        <f t="shared" si="91"/>
        <v>240</v>
      </c>
      <c r="B353" s="7" t="s">
        <v>353</v>
      </c>
      <c r="C353" s="19"/>
      <c r="D353" s="8" t="str">
        <f t="shared" si="90"/>
        <v/>
      </c>
      <c r="E353" s="39"/>
    </row>
    <row r="354" spans="1:5" ht="30" customHeight="1">
      <c r="A354" s="6">
        <f t="shared" si="91"/>
        <v>241</v>
      </c>
      <c r="B354" s="7" t="s">
        <v>530</v>
      </c>
      <c r="C354" s="19"/>
      <c r="D354" s="8" t="str">
        <f t="shared" si="90"/>
        <v/>
      </c>
      <c r="E354" s="39"/>
    </row>
    <row r="355" spans="1:5" ht="30" customHeight="1">
      <c r="A355" s="6">
        <f t="shared" si="91"/>
        <v>242</v>
      </c>
      <c r="B355" s="7" t="s">
        <v>354</v>
      </c>
      <c r="C355" s="19"/>
      <c r="D355" s="8" t="str">
        <f t="shared" si="90"/>
        <v/>
      </c>
      <c r="E355" s="39"/>
    </row>
    <row r="356" spans="1:5" ht="30" customHeight="1">
      <c r="A356" s="6">
        <f t="shared" si="91"/>
        <v>243</v>
      </c>
      <c r="B356" s="7" t="s">
        <v>355</v>
      </c>
      <c r="C356" s="19"/>
      <c r="D356" s="8" t="str">
        <f t="shared" si="90"/>
        <v/>
      </c>
      <c r="E356" s="39"/>
    </row>
    <row r="357" spans="1:5" ht="30" customHeight="1">
      <c r="A357" s="6">
        <f t="shared" si="91"/>
        <v>244</v>
      </c>
      <c r="B357" s="7" t="s">
        <v>356</v>
      </c>
      <c r="C357" s="6"/>
      <c r="D357" s="8" t="str">
        <f t="shared" si="90"/>
        <v/>
      </c>
      <c r="E357" s="39"/>
    </row>
    <row r="358" spans="1:5" ht="29.15" customHeight="1" thickBot="1">
      <c r="A358" s="12"/>
      <c r="B358" s="18"/>
      <c r="C358" s="16">
        <f>SUM(C347:C357)</f>
        <v>0</v>
      </c>
      <c r="D358" s="16">
        <f>+COUNT(C347:C357)*2</f>
        <v>0</v>
      </c>
      <c r="E358" s="11" t="str">
        <f>+IF(C347="","",C358/D358)</f>
        <v/>
      </c>
    </row>
    <row r="359" spans="1:5" ht="23.15" customHeight="1">
      <c r="A359" s="35" t="s">
        <v>357</v>
      </c>
      <c r="B359" s="32" t="s">
        <v>358</v>
      </c>
    </row>
    <row r="360" spans="1:5" ht="23.15" customHeight="1">
      <c r="A360" s="34" t="s">
        <v>45</v>
      </c>
      <c r="B360" s="33" t="s">
        <v>359</v>
      </c>
    </row>
    <row r="361" spans="1:5" ht="30" customHeight="1">
      <c r="A361" s="6">
        <f>1+A357</f>
        <v>245</v>
      </c>
      <c r="B361" s="7" t="s">
        <v>360</v>
      </c>
      <c r="C361" s="19"/>
      <c r="D361" s="8" t="str">
        <f t="shared" ref="D361:D372" si="92">+IF(C361="","",+IF(C361=0,"No Cumple",+IF(C361=1,"Cumple Parcial",+IF(C361=2,"Cumple Completo",+IF(C361="N","NA")))))</f>
        <v/>
      </c>
      <c r="E361" s="39"/>
    </row>
    <row r="362" spans="1:5" ht="30" customHeight="1">
      <c r="A362" s="6">
        <f t="shared" ref="A362:A372" si="93">1+A361</f>
        <v>246</v>
      </c>
      <c r="B362" s="7" t="s">
        <v>361</v>
      </c>
      <c r="C362" s="19"/>
      <c r="D362" s="8" t="str">
        <f t="shared" si="92"/>
        <v/>
      </c>
      <c r="E362" s="39"/>
    </row>
    <row r="363" spans="1:5" ht="30" customHeight="1">
      <c r="A363" s="6">
        <f t="shared" si="93"/>
        <v>247</v>
      </c>
      <c r="B363" s="7" t="s">
        <v>362</v>
      </c>
      <c r="C363" s="19"/>
      <c r="D363" s="8" t="str">
        <f t="shared" si="92"/>
        <v/>
      </c>
      <c r="E363" s="39"/>
    </row>
    <row r="364" spans="1:5" ht="30" customHeight="1">
      <c r="A364" s="6">
        <f t="shared" si="93"/>
        <v>248</v>
      </c>
      <c r="B364" s="7" t="s">
        <v>363</v>
      </c>
      <c r="C364" s="19"/>
      <c r="D364" s="8" t="str">
        <f t="shared" si="92"/>
        <v/>
      </c>
      <c r="E364" s="39"/>
    </row>
    <row r="365" spans="1:5" ht="30" customHeight="1">
      <c r="A365" s="6">
        <f t="shared" si="93"/>
        <v>249</v>
      </c>
      <c r="B365" s="7" t="s">
        <v>364</v>
      </c>
      <c r="C365" s="19"/>
      <c r="D365" s="8" t="str">
        <f t="shared" si="92"/>
        <v/>
      </c>
      <c r="E365" s="39"/>
    </row>
    <row r="366" spans="1:5" ht="30" customHeight="1">
      <c r="A366" s="6">
        <f t="shared" si="93"/>
        <v>250</v>
      </c>
      <c r="B366" s="7" t="s">
        <v>365</v>
      </c>
      <c r="C366" s="19"/>
      <c r="D366" s="8" t="str">
        <f t="shared" si="92"/>
        <v/>
      </c>
      <c r="E366" s="39"/>
    </row>
    <row r="367" spans="1:5" ht="46.5">
      <c r="A367" s="6">
        <f t="shared" si="93"/>
        <v>251</v>
      </c>
      <c r="B367" s="7" t="s">
        <v>366</v>
      </c>
      <c r="C367" s="19"/>
      <c r="D367" s="8" t="str">
        <f t="shared" si="92"/>
        <v/>
      </c>
      <c r="E367" s="39"/>
    </row>
    <row r="368" spans="1:5" ht="30" customHeight="1">
      <c r="A368" s="6">
        <f t="shared" si="93"/>
        <v>252</v>
      </c>
      <c r="B368" s="7" t="s">
        <v>367</v>
      </c>
      <c r="C368" s="19"/>
      <c r="D368" s="8" t="str">
        <f t="shared" si="92"/>
        <v/>
      </c>
      <c r="E368" s="39"/>
    </row>
    <row r="369" spans="1:5" ht="30" customHeight="1">
      <c r="A369" s="6">
        <f t="shared" si="93"/>
        <v>253</v>
      </c>
      <c r="B369" s="7" t="s">
        <v>368</v>
      </c>
      <c r="C369" s="19"/>
      <c r="D369" s="8" t="str">
        <f t="shared" si="92"/>
        <v/>
      </c>
      <c r="E369" s="39"/>
    </row>
    <row r="370" spans="1:5" ht="46.5">
      <c r="A370" s="6">
        <f t="shared" si="93"/>
        <v>254</v>
      </c>
      <c r="B370" s="7" t="s">
        <v>369</v>
      </c>
      <c r="C370" s="19"/>
      <c r="D370" s="8" t="str">
        <f t="shared" si="92"/>
        <v/>
      </c>
      <c r="E370" s="39"/>
    </row>
    <row r="371" spans="1:5" ht="30" customHeight="1">
      <c r="A371" s="6">
        <f t="shared" si="93"/>
        <v>255</v>
      </c>
      <c r="B371" s="7" t="s">
        <v>370</v>
      </c>
      <c r="C371" s="19"/>
      <c r="D371" s="8" t="str">
        <f t="shared" si="92"/>
        <v/>
      </c>
      <c r="E371" s="39"/>
    </row>
    <row r="372" spans="1:5" ht="30" customHeight="1">
      <c r="A372" s="6">
        <f t="shared" si="93"/>
        <v>256</v>
      </c>
      <c r="B372" s="7" t="s">
        <v>371</v>
      </c>
      <c r="C372" s="6"/>
      <c r="D372" s="8" t="str">
        <f t="shared" si="92"/>
        <v/>
      </c>
      <c r="E372" s="39"/>
    </row>
    <row r="373" spans="1:5" ht="29.15" customHeight="1" thickBot="1">
      <c r="A373" s="12"/>
      <c r="B373" s="18"/>
      <c r="C373" s="16">
        <f>SUM(C361:C372)</f>
        <v>0</v>
      </c>
      <c r="D373" s="16">
        <f>+COUNT(C361:C372)*2</f>
        <v>0</v>
      </c>
      <c r="E373" s="11" t="str">
        <f>+IF(C361="","",C373/D373)</f>
        <v/>
      </c>
    </row>
    <row r="374" spans="1:5" ht="23.15" customHeight="1">
      <c r="A374" s="34" t="s">
        <v>48</v>
      </c>
      <c r="B374" s="33" t="s">
        <v>36</v>
      </c>
    </row>
    <row r="375" spans="1:5" ht="31">
      <c r="A375" s="6">
        <f>1+A372</f>
        <v>257</v>
      </c>
      <c r="B375" s="7" t="s">
        <v>372</v>
      </c>
      <c r="C375" s="19"/>
      <c r="D375" s="8" t="str">
        <f t="shared" ref="D375:D376" si="94">+IF(C375="","",+IF(C375=0,"No Cumple",+IF(C375=1,"Cumple Parcial",+IF(C375=2,"Cumple Completo",+IF(C375="N","NA")))))</f>
        <v/>
      </c>
    </row>
    <row r="376" spans="1:5" ht="31">
      <c r="A376" s="6">
        <f t="shared" ref="A376:A377" si="95">1+A375</f>
        <v>258</v>
      </c>
      <c r="B376" s="7" t="s">
        <v>373</v>
      </c>
      <c r="C376" s="19"/>
      <c r="D376" s="8" t="str">
        <f t="shared" si="94"/>
        <v/>
      </c>
    </row>
    <row r="377" spans="1:5" ht="31.5" thickBot="1">
      <c r="A377" s="6">
        <f t="shared" si="95"/>
        <v>259</v>
      </c>
      <c r="B377" s="7" t="s">
        <v>374</v>
      </c>
      <c r="C377" s="9"/>
      <c r="D377" s="10" t="str">
        <f t="shared" ref="D377" si="96">+IF(C377="","",+IF(C377=0,"No Cumple",+IF(C377=1,"Cumple Parcial",+IF(C377=2,"Cumple Completo",+IF(C377="N","NA")))))</f>
        <v/>
      </c>
    </row>
    <row r="378" spans="1:5" ht="29.15" customHeight="1" thickTop="1" thickBot="1">
      <c r="A378" s="12"/>
      <c r="B378" s="18"/>
      <c r="C378" s="16">
        <f>SUM(C375:C377)</f>
        <v>0</v>
      </c>
      <c r="D378" s="16">
        <f>+COUNT(C375:C377)*2</f>
        <v>0</v>
      </c>
      <c r="E378" s="11" t="str">
        <f>+IF(C375="","",C378/D378)</f>
        <v/>
      </c>
    </row>
    <row r="379" spans="1:5" ht="23.15" customHeight="1">
      <c r="A379" s="34" t="s">
        <v>375</v>
      </c>
      <c r="B379" s="33" t="s">
        <v>376</v>
      </c>
    </row>
    <row r="380" spans="1:5" ht="31">
      <c r="A380" s="6">
        <f>1+A377</f>
        <v>260</v>
      </c>
      <c r="B380" s="7" t="s">
        <v>379</v>
      </c>
      <c r="C380" s="19"/>
      <c r="D380" s="8" t="str">
        <f t="shared" ref="D380:D382" si="97">+IF(C380="","",+IF(C380=0,"No Cumple",+IF(C380=1,"Cumple Parcial",+IF(C380=2,"Cumple Completo",+IF(C380="N","NA")))))</f>
        <v/>
      </c>
      <c r="E380" s="39"/>
    </row>
    <row r="381" spans="1:5" ht="31">
      <c r="A381" s="6">
        <f t="shared" ref="A381:A382" si="98">1+A380</f>
        <v>261</v>
      </c>
      <c r="B381" s="7" t="s">
        <v>377</v>
      </c>
      <c r="C381" s="19"/>
      <c r="D381" s="8" t="str">
        <f t="shared" si="97"/>
        <v/>
      </c>
      <c r="E381" s="39"/>
    </row>
    <row r="382" spans="1:5" ht="46.5">
      <c r="A382" s="6">
        <f t="shared" si="98"/>
        <v>262</v>
      </c>
      <c r="B382" s="7" t="s">
        <v>378</v>
      </c>
      <c r="C382" s="6"/>
      <c r="D382" s="8" t="str">
        <f t="shared" si="97"/>
        <v/>
      </c>
      <c r="E382" s="39"/>
    </row>
    <row r="383" spans="1:5" ht="29.15" customHeight="1" thickBot="1">
      <c r="A383" s="12"/>
      <c r="B383" s="18"/>
      <c r="C383" s="16">
        <f>SUM(C380:C382)</f>
        <v>0</v>
      </c>
      <c r="D383" s="16">
        <f>+COUNT(C380:C382)*2</f>
        <v>0</v>
      </c>
      <c r="E383" s="11" t="str">
        <f>+IF(C380="","",C383/D383)</f>
        <v/>
      </c>
    </row>
    <row r="384" spans="1:5" ht="23.15" customHeight="1">
      <c r="A384" s="34" t="s">
        <v>382</v>
      </c>
      <c r="B384" s="33" t="s">
        <v>381</v>
      </c>
    </row>
    <row r="385" spans="1:5" ht="31">
      <c r="A385" s="6">
        <f>1+A382</f>
        <v>263</v>
      </c>
      <c r="B385" s="7" t="s">
        <v>380</v>
      </c>
      <c r="C385" s="19"/>
      <c r="D385" s="8" t="str">
        <f t="shared" ref="D385:D386" si="99">+IF(C385="","",+IF(C385=0,"No Cumple",+IF(C385=1,"Cumple Parcial",+IF(C385=2,"Cumple Completo",+IF(C385="N","NA")))))</f>
        <v/>
      </c>
      <c r="E385" s="39"/>
    </row>
    <row r="386" spans="1:5" ht="31">
      <c r="A386" s="6">
        <f t="shared" ref="A386" si="100">1+A385</f>
        <v>264</v>
      </c>
      <c r="B386" s="38" t="s">
        <v>383</v>
      </c>
      <c r="C386" s="6"/>
      <c r="D386" s="8" t="str">
        <f t="shared" si="99"/>
        <v/>
      </c>
      <c r="E386" s="39"/>
    </row>
    <row r="387" spans="1:5" ht="29.15" customHeight="1" thickBot="1">
      <c r="A387" s="12"/>
      <c r="B387" s="18"/>
      <c r="C387" s="16">
        <f>SUM(C385:C386)</f>
        <v>0</v>
      </c>
      <c r="D387" s="16">
        <f>+COUNT(C385:C386)*2</f>
        <v>0</v>
      </c>
      <c r="E387" s="11" t="str">
        <f>+IF(C385="","",C387/D387)</f>
        <v/>
      </c>
    </row>
    <row r="388" spans="1:5" ht="23.15" customHeight="1">
      <c r="A388" s="34" t="s">
        <v>384</v>
      </c>
      <c r="B388" s="33" t="s">
        <v>385</v>
      </c>
    </row>
    <row r="389" spans="1:5" ht="31">
      <c r="A389" s="6">
        <f>1+A386</f>
        <v>265</v>
      </c>
      <c r="B389" s="7" t="s">
        <v>386</v>
      </c>
      <c r="C389" s="6"/>
      <c r="D389" s="8" t="str">
        <f t="shared" ref="D389:D395" si="101">+IF(C389="","",+IF(C389=0,"No Cumple",+IF(C389=1,"Cumple Parcial",+IF(C389=2,"Cumple Completo",+IF(C389="N","NA")))))</f>
        <v/>
      </c>
      <c r="E389" s="39"/>
    </row>
    <row r="390" spans="1:5" ht="31">
      <c r="A390" s="6">
        <f t="shared" ref="A390:A395" si="102">1+A389</f>
        <v>266</v>
      </c>
      <c r="B390" s="7" t="s">
        <v>387</v>
      </c>
      <c r="C390" s="6"/>
      <c r="D390" s="8" t="str">
        <f t="shared" si="101"/>
        <v/>
      </c>
      <c r="E390" s="39"/>
    </row>
    <row r="391" spans="1:5" ht="30" customHeight="1">
      <c r="A391" s="6">
        <f t="shared" si="102"/>
        <v>267</v>
      </c>
      <c r="B391" s="7" t="s">
        <v>388</v>
      </c>
      <c r="C391" s="6"/>
      <c r="D391" s="8" t="str">
        <f t="shared" si="101"/>
        <v/>
      </c>
      <c r="E391" s="39"/>
    </row>
    <row r="392" spans="1:5" ht="30" customHeight="1">
      <c r="A392" s="6">
        <f t="shared" si="102"/>
        <v>268</v>
      </c>
      <c r="B392" s="7" t="s">
        <v>389</v>
      </c>
      <c r="C392" s="6"/>
      <c r="D392" s="8" t="str">
        <f t="shared" si="101"/>
        <v/>
      </c>
      <c r="E392" s="39"/>
    </row>
    <row r="393" spans="1:5" ht="30" customHeight="1">
      <c r="A393" s="6">
        <f t="shared" si="102"/>
        <v>269</v>
      </c>
      <c r="B393" s="7" t="s">
        <v>390</v>
      </c>
      <c r="C393" s="6"/>
      <c r="D393" s="8" t="str">
        <f t="shared" si="101"/>
        <v/>
      </c>
      <c r="E393" s="39"/>
    </row>
    <row r="394" spans="1:5" ht="30" customHeight="1">
      <c r="A394" s="6">
        <f t="shared" si="102"/>
        <v>270</v>
      </c>
      <c r="B394" s="7" t="s">
        <v>391</v>
      </c>
      <c r="C394" s="6"/>
      <c r="D394" s="8" t="str">
        <f t="shared" si="101"/>
        <v/>
      </c>
      <c r="E394" s="39"/>
    </row>
    <row r="395" spans="1:5" ht="30" customHeight="1">
      <c r="A395" s="6">
        <f t="shared" si="102"/>
        <v>271</v>
      </c>
      <c r="B395" s="7" t="s">
        <v>392</v>
      </c>
      <c r="C395" s="6"/>
      <c r="D395" s="8" t="str">
        <f t="shared" si="101"/>
        <v/>
      </c>
      <c r="E395" s="39"/>
    </row>
    <row r="396" spans="1:5" ht="29.15" customHeight="1" thickBot="1">
      <c r="A396" s="12"/>
      <c r="B396" s="18"/>
      <c r="C396" s="16">
        <f>SUM(C389:C395)</f>
        <v>0</v>
      </c>
      <c r="D396" s="16">
        <f>+COUNT(C389:C395)*2</f>
        <v>0</v>
      </c>
      <c r="E396" s="40" t="str">
        <f>+IF(C389="","",C396/D396)</f>
        <v/>
      </c>
    </row>
    <row r="397" spans="1:5" ht="23.15" customHeight="1">
      <c r="A397" s="34" t="s">
        <v>393</v>
      </c>
      <c r="B397" s="33" t="s">
        <v>394</v>
      </c>
    </row>
    <row r="398" spans="1:5" ht="31">
      <c r="A398" s="6">
        <f>1+A395</f>
        <v>272</v>
      </c>
      <c r="B398" s="7" t="s">
        <v>395</v>
      </c>
      <c r="C398" s="6"/>
      <c r="D398" s="8" t="str">
        <f t="shared" ref="D398:D399" si="103">+IF(C398="","",+IF(C398=0,"No Cumple",+IF(C398=1,"Cumple Parcial",+IF(C398=2,"Cumple Completo",+IF(C398="N","NA")))))</f>
        <v/>
      </c>
      <c r="E398" s="39"/>
    </row>
    <row r="399" spans="1:5" ht="31">
      <c r="A399" s="6">
        <f t="shared" ref="A399" si="104">1+A398</f>
        <v>273</v>
      </c>
      <c r="B399" s="7" t="s">
        <v>531</v>
      </c>
      <c r="C399" s="6"/>
      <c r="D399" s="8" t="str">
        <f t="shared" si="103"/>
        <v/>
      </c>
      <c r="E399" s="39"/>
    </row>
    <row r="400" spans="1:5" ht="29.15" customHeight="1" thickBot="1">
      <c r="A400" s="12"/>
      <c r="B400" s="18"/>
      <c r="C400" s="16">
        <f>SUM(C398:C399)</f>
        <v>0</v>
      </c>
      <c r="D400" s="16">
        <f>+COUNT(C398:C399)*2</f>
        <v>0</v>
      </c>
      <c r="E400" s="40" t="str">
        <f>+IF(C398="","",C400/D400)</f>
        <v/>
      </c>
    </row>
    <row r="401" spans="1:5" ht="23.15" customHeight="1">
      <c r="A401" s="35" t="s">
        <v>396</v>
      </c>
      <c r="B401" s="32" t="s">
        <v>397</v>
      </c>
    </row>
    <row r="402" spans="1:5" ht="31">
      <c r="A402" s="6">
        <f>1+A399</f>
        <v>274</v>
      </c>
      <c r="B402" s="7" t="s">
        <v>398</v>
      </c>
      <c r="C402" s="6"/>
      <c r="D402" s="8" t="str">
        <f t="shared" ref="D402:D406" si="105">+IF(C402="","",+IF(C402=0,"No Cumple",+IF(C402=1,"Cumple Parcial",+IF(C402=2,"Cumple Completo",+IF(C402="N","NA")))))</f>
        <v/>
      </c>
      <c r="E402" s="39"/>
    </row>
    <row r="403" spans="1:5" ht="46.5">
      <c r="A403" s="6">
        <f t="shared" ref="A403:A406" si="106">1+A402</f>
        <v>275</v>
      </c>
      <c r="B403" s="7" t="s">
        <v>532</v>
      </c>
      <c r="C403" s="6"/>
      <c r="D403" s="8" t="str">
        <f t="shared" si="105"/>
        <v/>
      </c>
      <c r="E403" s="39"/>
    </row>
    <row r="404" spans="1:5" ht="31">
      <c r="A404" s="6">
        <f t="shared" si="106"/>
        <v>276</v>
      </c>
      <c r="B404" s="7" t="s">
        <v>399</v>
      </c>
      <c r="C404" s="6"/>
      <c r="D404" s="8" t="str">
        <f t="shared" si="105"/>
        <v/>
      </c>
      <c r="E404" s="39"/>
    </row>
    <row r="405" spans="1:5" ht="31" customHeight="1">
      <c r="A405" s="6">
        <f t="shared" si="106"/>
        <v>277</v>
      </c>
      <c r="B405" s="7" t="s">
        <v>400</v>
      </c>
      <c r="C405" s="6"/>
      <c r="D405" s="8" t="str">
        <f t="shared" si="105"/>
        <v/>
      </c>
      <c r="E405" s="39"/>
    </row>
    <row r="406" spans="1:5" ht="31" customHeight="1">
      <c r="A406" s="6">
        <f t="shared" si="106"/>
        <v>278</v>
      </c>
      <c r="B406" s="7" t="s">
        <v>401</v>
      </c>
      <c r="C406" s="6"/>
      <c r="D406" s="8" t="str">
        <f t="shared" si="105"/>
        <v/>
      </c>
      <c r="E406" s="39"/>
    </row>
    <row r="407" spans="1:5" ht="29.15" customHeight="1" thickBot="1">
      <c r="A407" s="12"/>
      <c r="B407" s="18"/>
      <c r="C407" s="16">
        <f>SUM(C402:C406)</f>
        <v>0</v>
      </c>
      <c r="D407" s="16">
        <f>+COUNT(C402:C406)*2</f>
        <v>0</v>
      </c>
      <c r="E407" s="40" t="str">
        <f>+IF(C402="","",C407/D407)</f>
        <v/>
      </c>
    </row>
    <row r="408" spans="1:5" ht="23.15" customHeight="1">
      <c r="A408" s="35" t="s">
        <v>402</v>
      </c>
      <c r="B408" s="32" t="s">
        <v>403</v>
      </c>
    </row>
    <row r="409" spans="1:5" ht="23.15" customHeight="1">
      <c r="A409" s="34" t="s">
        <v>404</v>
      </c>
      <c r="B409" s="33" t="s">
        <v>405</v>
      </c>
    </row>
    <row r="410" spans="1:5" ht="31">
      <c r="A410" s="6">
        <f>1+A406</f>
        <v>279</v>
      </c>
      <c r="B410" s="7" t="s">
        <v>406</v>
      </c>
      <c r="C410" s="6"/>
      <c r="D410" s="8" t="str">
        <f t="shared" ref="D410:D417" si="107">+IF(C410="","",+IF(C410=0,"No Cumple",+IF(C410=1,"Cumple Parcial",+IF(C410=2,"Cumple Completo",+IF(C410="N","NA")))))</f>
        <v/>
      </c>
      <c r="E410" s="39"/>
    </row>
    <row r="411" spans="1:5" ht="62">
      <c r="A411" s="6">
        <f t="shared" ref="A411:A417" si="108">1+A410</f>
        <v>280</v>
      </c>
      <c r="B411" s="7" t="s">
        <v>407</v>
      </c>
      <c r="C411" s="6"/>
      <c r="D411" s="8" t="str">
        <f t="shared" si="107"/>
        <v/>
      </c>
      <c r="E411" s="39"/>
    </row>
    <row r="412" spans="1:5" ht="30" customHeight="1">
      <c r="A412" s="6">
        <f t="shared" si="108"/>
        <v>281</v>
      </c>
      <c r="B412" s="7" t="s">
        <v>408</v>
      </c>
      <c r="C412" s="6"/>
      <c r="D412" s="8" t="str">
        <f t="shared" si="107"/>
        <v/>
      </c>
      <c r="E412" s="39"/>
    </row>
    <row r="413" spans="1:5" ht="30" customHeight="1">
      <c r="A413" s="6">
        <f t="shared" si="108"/>
        <v>282</v>
      </c>
      <c r="B413" s="7" t="s">
        <v>409</v>
      </c>
      <c r="C413" s="6"/>
      <c r="D413" s="8" t="str">
        <f t="shared" si="107"/>
        <v/>
      </c>
      <c r="E413" s="39" t="s">
        <v>55</v>
      </c>
    </row>
    <row r="414" spans="1:5" ht="30" customHeight="1">
      <c r="A414" s="6">
        <f t="shared" si="108"/>
        <v>283</v>
      </c>
      <c r="B414" s="7" t="s">
        <v>410</v>
      </c>
      <c r="C414" s="6"/>
      <c r="D414" s="8" t="str">
        <f t="shared" si="107"/>
        <v/>
      </c>
      <c r="E414" s="39"/>
    </row>
    <row r="415" spans="1:5" ht="30" customHeight="1">
      <c r="A415" s="6">
        <f t="shared" si="108"/>
        <v>284</v>
      </c>
      <c r="B415" s="7" t="s">
        <v>411</v>
      </c>
      <c r="C415" s="6"/>
      <c r="D415" s="8" t="str">
        <f t="shared" si="107"/>
        <v/>
      </c>
      <c r="E415" s="39"/>
    </row>
    <row r="416" spans="1:5" ht="30" customHeight="1">
      <c r="A416" s="6">
        <f t="shared" si="108"/>
        <v>285</v>
      </c>
      <c r="B416" s="7" t="s">
        <v>412</v>
      </c>
      <c r="C416" s="6"/>
      <c r="D416" s="8" t="str">
        <f t="shared" si="107"/>
        <v/>
      </c>
      <c r="E416" s="39"/>
    </row>
    <row r="417" spans="1:7" ht="30" customHeight="1">
      <c r="A417" s="6">
        <f t="shared" si="108"/>
        <v>286</v>
      </c>
      <c r="B417" s="7" t="s">
        <v>413</v>
      </c>
      <c r="C417" s="6"/>
      <c r="D417" s="8" t="str">
        <f t="shared" si="107"/>
        <v/>
      </c>
      <c r="E417" s="39"/>
    </row>
    <row r="418" spans="1:7" ht="29.15" customHeight="1" thickBot="1">
      <c r="A418" s="12"/>
      <c r="B418" s="18"/>
      <c r="C418" s="16">
        <f>SUM(C410:C417)</f>
        <v>0</v>
      </c>
      <c r="D418" s="16">
        <f>+COUNT(C410:C417)*2</f>
        <v>0</v>
      </c>
      <c r="E418" s="40" t="str">
        <f>+IF(C410="","",C418/D418)</f>
        <v/>
      </c>
    </row>
    <row r="419" spans="1:7" ht="23.15" customHeight="1">
      <c r="A419" s="34" t="s">
        <v>414</v>
      </c>
      <c r="B419" s="33" t="s">
        <v>415</v>
      </c>
    </row>
    <row r="420" spans="1:7" ht="30" customHeight="1">
      <c r="A420" s="6">
        <f>1+A417</f>
        <v>287</v>
      </c>
      <c r="B420" s="7" t="s">
        <v>416</v>
      </c>
      <c r="C420" s="6"/>
      <c r="D420" s="8" t="str">
        <f t="shared" ref="D420" si="109">+IF(C420="","",+IF(C420=0,"No Cumple",+IF(C420=1,"Cumple Parcial",+IF(C420=2,"Cumple Completo",+IF(C420="N","NA")))))</f>
        <v/>
      </c>
      <c r="E420" s="39"/>
    </row>
    <row r="421" spans="1:7" ht="30" customHeight="1">
      <c r="A421" s="6">
        <f>1+A420</f>
        <v>288</v>
      </c>
      <c r="B421" s="7" t="s">
        <v>417</v>
      </c>
      <c r="C421" s="6"/>
      <c r="D421" s="8"/>
      <c r="E421" s="39"/>
    </row>
    <row r="422" spans="1:7" ht="30" customHeight="1">
      <c r="A422" s="6">
        <f t="shared" ref="A422:A423" si="110">1+A421</f>
        <v>289</v>
      </c>
      <c r="B422" s="7" t="s">
        <v>418</v>
      </c>
      <c r="C422" s="6"/>
      <c r="D422" s="8"/>
      <c r="E422" s="39"/>
    </row>
    <row r="423" spans="1:7" ht="30" customHeight="1">
      <c r="A423" s="6">
        <f t="shared" si="110"/>
        <v>290</v>
      </c>
      <c r="B423" s="7" t="s">
        <v>419</v>
      </c>
      <c r="C423" s="6"/>
      <c r="D423" s="8" t="str">
        <f t="shared" ref="D423" si="111">+IF(C423="","",+IF(C423=0,"No Cumple",+IF(C423=1,"Cumple Parcial",+IF(C423=2,"Cumple Completo",+IF(C423="N","NA")))))</f>
        <v/>
      </c>
      <c r="E423" s="39"/>
    </row>
    <row r="424" spans="1:7" ht="29.15" customHeight="1" thickBot="1">
      <c r="A424" s="12"/>
      <c r="B424" s="18"/>
      <c r="C424" s="16">
        <f>SUM(C420:C423)</f>
        <v>0</v>
      </c>
      <c r="D424" s="16">
        <f>+COUNT(C420:C423)*2</f>
        <v>0</v>
      </c>
      <c r="E424" s="40" t="str">
        <f>+IF(C420="","",C424/D424)</f>
        <v/>
      </c>
      <c r="G424" s="29" t="str">
        <f>+IF(E242="","-",+AVERAGE(E242,E251,E258,E269,E273,E276,E280,E293,E304,E313,E321,E326,E335,E345,E358,E373,E378,E383,E387,E396,E400,E407,E418,E424))</f>
        <v>-</v>
      </c>
    </row>
    <row r="425" spans="1:7" ht="23.15" customHeight="1">
      <c r="A425" s="35">
        <v>9</v>
      </c>
      <c r="B425" s="32" t="s">
        <v>420</v>
      </c>
    </row>
    <row r="426" spans="1:7" ht="23.15" customHeight="1">
      <c r="A426" s="34" t="s">
        <v>421</v>
      </c>
      <c r="B426" s="33" t="s">
        <v>444</v>
      </c>
    </row>
    <row r="427" spans="1:7" ht="23.15" customHeight="1">
      <c r="A427" s="34" t="s">
        <v>422</v>
      </c>
      <c r="B427" s="33" t="s">
        <v>10</v>
      </c>
    </row>
    <row r="428" spans="1:7" ht="31" customHeight="1">
      <c r="A428" s="6">
        <f>1+A423</f>
        <v>291</v>
      </c>
      <c r="B428" s="7" t="s">
        <v>423</v>
      </c>
      <c r="C428" s="6"/>
      <c r="D428" s="8" t="str">
        <f t="shared" ref="D428:D434" si="112">+IF(C428="","",+IF(C428=0,"No Cumple",+IF(C428=1,"Cumple Parcial",+IF(C428=2,"Cumple Completo",+IF(C428="N","NA")))))</f>
        <v/>
      </c>
      <c r="E428" s="39"/>
    </row>
    <row r="429" spans="1:7" ht="31" customHeight="1">
      <c r="A429" s="6">
        <f t="shared" ref="A429:A434" si="113">1+A428</f>
        <v>292</v>
      </c>
      <c r="B429" s="7" t="s">
        <v>424</v>
      </c>
      <c r="C429" s="6"/>
      <c r="D429" s="8" t="str">
        <f t="shared" si="112"/>
        <v/>
      </c>
      <c r="E429" s="39"/>
    </row>
    <row r="430" spans="1:7" ht="31" customHeight="1">
      <c r="A430" s="6">
        <f t="shared" si="113"/>
        <v>293</v>
      </c>
      <c r="B430" s="7" t="s">
        <v>425</v>
      </c>
      <c r="C430" s="6"/>
      <c r="D430" s="8" t="str">
        <f t="shared" si="112"/>
        <v/>
      </c>
      <c r="E430" s="39"/>
    </row>
    <row r="431" spans="1:7" ht="31" customHeight="1">
      <c r="A431" s="6">
        <f t="shared" si="113"/>
        <v>294</v>
      </c>
      <c r="B431" s="7" t="s">
        <v>426</v>
      </c>
      <c r="C431" s="6"/>
      <c r="D431" s="8" t="str">
        <f t="shared" si="112"/>
        <v/>
      </c>
      <c r="E431" s="39"/>
    </row>
    <row r="432" spans="1:7" ht="31" customHeight="1">
      <c r="A432" s="6">
        <f t="shared" si="113"/>
        <v>295</v>
      </c>
      <c r="B432" s="7" t="s">
        <v>427</v>
      </c>
      <c r="C432" s="6"/>
      <c r="D432" s="8" t="str">
        <f t="shared" si="112"/>
        <v/>
      </c>
      <c r="E432" s="39"/>
    </row>
    <row r="433" spans="1:5" ht="31" customHeight="1">
      <c r="A433" s="6">
        <f t="shared" si="113"/>
        <v>296</v>
      </c>
      <c r="B433" s="7" t="s">
        <v>428</v>
      </c>
      <c r="C433" s="6"/>
      <c r="D433" s="8" t="str">
        <f t="shared" si="112"/>
        <v/>
      </c>
      <c r="E433" s="39"/>
    </row>
    <row r="434" spans="1:5" ht="31" customHeight="1">
      <c r="A434" s="6">
        <f t="shared" si="113"/>
        <v>297</v>
      </c>
      <c r="B434" s="7" t="s">
        <v>429</v>
      </c>
      <c r="C434" s="6"/>
      <c r="D434" s="8" t="str">
        <f t="shared" si="112"/>
        <v/>
      </c>
      <c r="E434" s="39"/>
    </row>
    <row r="435" spans="1:5" ht="29.15" customHeight="1" thickBot="1">
      <c r="A435" s="12"/>
      <c r="B435" s="18"/>
      <c r="C435" s="16">
        <f>SUM(C428:C434)</f>
        <v>0</v>
      </c>
      <c r="D435" s="16">
        <f>+COUNT(C428:C434)*2</f>
        <v>0</v>
      </c>
      <c r="E435" s="40" t="str">
        <f>+IF(C429="","",C435/D435)</f>
        <v/>
      </c>
    </row>
    <row r="436" spans="1:5" ht="23.15" customHeight="1">
      <c r="A436" s="34" t="s">
        <v>430</v>
      </c>
      <c r="B436" s="33" t="s">
        <v>39</v>
      </c>
    </row>
    <row r="437" spans="1:5" ht="46.5">
      <c r="A437" s="6">
        <f>1+A434</f>
        <v>298</v>
      </c>
      <c r="B437" s="7" t="s">
        <v>431</v>
      </c>
      <c r="C437" s="6"/>
      <c r="D437" s="8" t="str">
        <f t="shared" ref="D437" si="114">+IF(C437="","",+IF(C437=0,"No Cumple",+IF(C437=1,"Cumple Parcial",+IF(C437=2,"Cumple Completo",+IF(C437="N","NA")))))</f>
        <v/>
      </c>
      <c r="E437" s="39"/>
    </row>
    <row r="438" spans="1:5" ht="29.15" customHeight="1" thickBot="1">
      <c r="A438" s="12"/>
      <c r="B438" s="18"/>
      <c r="C438" s="16">
        <f>SUM(C437:C437)</f>
        <v>0</v>
      </c>
      <c r="D438" s="16">
        <f>+COUNT(C437:C437)*2</f>
        <v>0</v>
      </c>
      <c r="E438" s="40" t="str">
        <f>+IF(C437="","",C438/D438)</f>
        <v/>
      </c>
    </row>
    <row r="439" spans="1:5" ht="23.15" customHeight="1">
      <c r="A439" s="34" t="s">
        <v>432</v>
      </c>
      <c r="B439" s="33" t="s">
        <v>433</v>
      </c>
    </row>
    <row r="440" spans="1:5" ht="31">
      <c r="A440" s="6">
        <f>1+A437</f>
        <v>299</v>
      </c>
      <c r="B440" s="7" t="s">
        <v>434</v>
      </c>
      <c r="C440" s="6"/>
      <c r="D440" s="8" t="str">
        <f t="shared" ref="D440:D448" si="115">+IF(C440="","",+IF(C440=0,"No Cumple",+IF(C440=1,"Cumple Parcial",+IF(C440=2,"Cumple Completo",+IF(C440="N","NA")))))</f>
        <v/>
      </c>
      <c r="E440" s="39"/>
    </row>
    <row r="441" spans="1:5" ht="31" customHeight="1">
      <c r="A441" s="6">
        <f t="shared" ref="A441:A448" si="116">1+A440</f>
        <v>300</v>
      </c>
      <c r="B441" s="7" t="s">
        <v>435</v>
      </c>
      <c r="C441" s="6"/>
      <c r="D441" s="8" t="str">
        <f t="shared" si="115"/>
        <v/>
      </c>
      <c r="E441" s="39"/>
    </row>
    <row r="442" spans="1:5" ht="31" customHeight="1">
      <c r="A442" s="6">
        <f t="shared" si="116"/>
        <v>301</v>
      </c>
      <c r="B442" s="7" t="s">
        <v>436</v>
      </c>
      <c r="C442" s="6"/>
      <c r="D442" s="8" t="str">
        <f t="shared" si="115"/>
        <v/>
      </c>
      <c r="E442" s="39"/>
    </row>
    <row r="443" spans="1:5" ht="31" customHeight="1">
      <c r="A443" s="6">
        <f t="shared" si="116"/>
        <v>302</v>
      </c>
      <c r="B443" s="7" t="s">
        <v>437</v>
      </c>
      <c r="C443" s="6"/>
      <c r="D443" s="8" t="str">
        <f t="shared" si="115"/>
        <v/>
      </c>
      <c r="E443" s="39"/>
    </row>
    <row r="444" spans="1:5" ht="31" customHeight="1">
      <c r="A444" s="6">
        <f t="shared" si="116"/>
        <v>303</v>
      </c>
      <c r="B444" s="7" t="s">
        <v>438</v>
      </c>
      <c r="C444" s="6"/>
      <c r="D444" s="8" t="str">
        <f t="shared" si="115"/>
        <v/>
      </c>
      <c r="E444" s="39"/>
    </row>
    <row r="445" spans="1:5" ht="31" customHeight="1">
      <c r="A445" s="6">
        <f t="shared" si="116"/>
        <v>304</v>
      </c>
      <c r="B445" s="7" t="s">
        <v>439</v>
      </c>
      <c r="C445" s="6"/>
      <c r="D445" s="8" t="str">
        <f t="shared" si="115"/>
        <v/>
      </c>
      <c r="E445" s="39"/>
    </row>
    <row r="446" spans="1:5" ht="31" customHeight="1">
      <c r="A446" s="6">
        <f t="shared" si="116"/>
        <v>305</v>
      </c>
      <c r="B446" s="7" t="s">
        <v>440</v>
      </c>
      <c r="C446" s="6"/>
      <c r="D446" s="8" t="str">
        <f t="shared" si="115"/>
        <v/>
      </c>
      <c r="E446" s="39"/>
    </row>
    <row r="447" spans="1:5" ht="31" customHeight="1">
      <c r="A447" s="6">
        <f t="shared" si="116"/>
        <v>306</v>
      </c>
      <c r="B447" s="7" t="s">
        <v>533</v>
      </c>
      <c r="C447" s="6"/>
      <c r="D447" s="8" t="str">
        <f t="shared" si="115"/>
        <v/>
      </c>
      <c r="E447" s="39"/>
    </row>
    <row r="448" spans="1:5" ht="31" customHeight="1">
      <c r="A448" s="6">
        <f t="shared" si="116"/>
        <v>307</v>
      </c>
      <c r="B448" s="7" t="s">
        <v>441</v>
      </c>
      <c r="C448" s="6"/>
      <c r="D448" s="8" t="str">
        <f t="shared" si="115"/>
        <v/>
      </c>
      <c r="E448" s="39"/>
    </row>
    <row r="449" spans="1:5" ht="29.15" customHeight="1" thickBot="1">
      <c r="A449" s="12"/>
      <c r="B449" s="18"/>
      <c r="C449" s="16">
        <f>SUM(C440:C448)</f>
        <v>0</v>
      </c>
      <c r="D449" s="16">
        <f>+COUNT(C440:C448)*2</f>
        <v>0</v>
      </c>
      <c r="E449" s="40" t="str">
        <f>+IF(C440="","",C449/D449)</f>
        <v/>
      </c>
    </row>
    <row r="450" spans="1:5" ht="23.15" customHeight="1">
      <c r="A450" s="35" t="s">
        <v>442</v>
      </c>
      <c r="B450" s="32" t="s">
        <v>443</v>
      </c>
    </row>
    <row r="451" spans="1:5" ht="31">
      <c r="A451" s="34" t="s">
        <v>445</v>
      </c>
      <c r="B451" s="33" t="s">
        <v>446</v>
      </c>
    </row>
    <row r="452" spans="1:5" ht="31" customHeight="1">
      <c r="A452" s="6">
        <f>1+A448</f>
        <v>308</v>
      </c>
      <c r="B452" s="7" t="s">
        <v>447</v>
      </c>
      <c r="C452" s="6"/>
      <c r="D452" s="8" t="str">
        <f t="shared" ref="D452:D455" si="117">+IF(C452="","",+IF(C452=0,"No Cumple",+IF(C452=1,"Cumple Parcial",+IF(C452=2,"Cumple Completo",+IF(C452="N","NA")))))</f>
        <v/>
      </c>
      <c r="E452" s="39"/>
    </row>
    <row r="453" spans="1:5" ht="31" customHeight="1">
      <c r="A453" s="6">
        <f t="shared" ref="A453:A455" si="118">1+A452</f>
        <v>309</v>
      </c>
      <c r="B453" s="7" t="s">
        <v>448</v>
      </c>
      <c r="C453" s="6"/>
      <c r="D453" s="8" t="str">
        <f t="shared" si="117"/>
        <v/>
      </c>
      <c r="E453" s="39"/>
    </row>
    <row r="454" spans="1:5" ht="31" customHeight="1">
      <c r="A454" s="6">
        <f t="shared" si="118"/>
        <v>310</v>
      </c>
      <c r="B454" s="7" t="s">
        <v>449</v>
      </c>
      <c r="C454" s="6"/>
      <c r="D454" s="8" t="str">
        <f t="shared" si="117"/>
        <v/>
      </c>
      <c r="E454" s="39"/>
    </row>
    <row r="455" spans="1:5" ht="31" customHeight="1">
      <c r="A455" s="6">
        <f t="shared" si="118"/>
        <v>311</v>
      </c>
      <c r="B455" s="7" t="s">
        <v>450</v>
      </c>
      <c r="C455" s="6"/>
      <c r="D455" s="8" t="str">
        <f t="shared" si="117"/>
        <v/>
      </c>
      <c r="E455" s="39"/>
    </row>
    <row r="456" spans="1:5" ht="29.15" customHeight="1" thickBot="1">
      <c r="A456" s="12"/>
      <c r="B456" s="18"/>
      <c r="C456" s="16">
        <f>SUM(C452:C455)</f>
        <v>0</v>
      </c>
      <c r="D456" s="16">
        <f>+COUNT(C452:C455)*2</f>
        <v>0</v>
      </c>
      <c r="E456" s="40" t="str">
        <f>+IF(C452="","",C456/D456)</f>
        <v/>
      </c>
    </row>
    <row r="457" spans="1:5" ht="23.15" customHeight="1">
      <c r="A457" s="34" t="s">
        <v>451</v>
      </c>
      <c r="B457" s="33" t="s">
        <v>197</v>
      </c>
    </row>
    <row r="458" spans="1:5" ht="62">
      <c r="A458" s="6">
        <f>1+A455</f>
        <v>312</v>
      </c>
      <c r="B458" s="7" t="s">
        <v>452</v>
      </c>
      <c r="C458" s="6"/>
      <c r="D458" s="8" t="str">
        <f t="shared" ref="D458:D463" si="119">+IF(C458="","",+IF(C458=0,"No Cumple",+IF(C458=1,"Cumple Parcial",+IF(C458=2,"Cumple Completo",+IF(C458="N","NA")))))</f>
        <v/>
      </c>
      <c r="E458" s="39"/>
    </row>
    <row r="459" spans="1:5" ht="31" customHeight="1">
      <c r="A459" s="6">
        <f t="shared" ref="A459:A463" si="120">1+A458</f>
        <v>313</v>
      </c>
      <c r="B459" s="7" t="s">
        <v>453</v>
      </c>
      <c r="C459" s="6"/>
      <c r="D459" s="8" t="str">
        <f t="shared" si="119"/>
        <v/>
      </c>
      <c r="E459" s="39"/>
    </row>
    <row r="460" spans="1:5" ht="31" customHeight="1">
      <c r="A460" s="6">
        <f t="shared" si="120"/>
        <v>314</v>
      </c>
      <c r="B460" s="7" t="s">
        <v>454</v>
      </c>
      <c r="C460" s="6"/>
      <c r="D460" s="8" t="str">
        <f t="shared" si="119"/>
        <v/>
      </c>
      <c r="E460" s="39"/>
    </row>
    <row r="461" spans="1:5" ht="31" customHeight="1">
      <c r="A461" s="6">
        <f t="shared" si="120"/>
        <v>315</v>
      </c>
      <c r="B461" s="7" t="s">
        <v>455</v>
      </c>
      <c r="C461" s="6"/>
      <c r="D461" s="8" t="str">
        <f t="shared" si="119"/>
        <v/>
      </c>
      <c r="E461" s="39"/>
    </row>
    <row r="462" spans="1:5" ht="31" customHeight="1">
      <c r="A462" s="6">
        <f t="shared" si="120"/>
        <v>316</v>
      </c>
      <c r="B462" s="7" t="s">
        <v>456</v>
      </c>
      <c r="C462" s="6"/>
      <c r="D462" s="8" t="str">
        <f t="shared" si="119"/>
        <v/>
      </c>
      <c r="E462" s="39"/>
    </row>
    <row r="463" spans="1:5" ht="31" customHeight="1">
      <c r="A463" s="6">
        <f t="shared" si="120"/>
        <v>317</v>
      </c>
      <c r="B463" s="7" t="s">
        <v>457</v>
      </c>
      <c r="C463" s="6"/>
      <c r="D463" s="8" t="str">
        <f t="shared" si="119"/>
        <v/>
      </c>
      <c r="E463" s="39"/>
    </row>
    <row r="464" spans="1:5" ht="29.15" customHeight="1" thickBot="1">
      <c r="A464" s="12"/>
      <c r="B464" s="18"/>
      <c r="C464" s="16">
        <f>SUM(C458:C463)</f>
        <v>0</v>
      </c>
      <c r="D464" s="16">
        <f>+COUNT(C458:C463)*2</f>
        <v>0</v>
      </c>
      <c r="E464" s="40" t="str">
        <f>+IF(C458="","",C464/D464)</f>
        <v/>
      </c>
    </row>
    <row r="465" spans="1:5" ht="23.15" customHeight="1">
      <c r="A465" s="35" t="s">
        <v>458</v>
      </c>
      <c r="B465" s="32" t="s">
        <v>3</v>
      </c>
    </row>
    <row r="466" spans="1:5" ht="25" customHeight="1">
      <c r="A466" s="34" t="s">
        <v>459</v>
      </c>
      <c r="B466" s="33" t="s">
        <v>10</v>
      </c>
    </row>
    <row r="467" spans="1:5" ht="46.5">
      <c r="A467" s="6">
        <f>1+A463</f>
        <v>318</v>
      </c>
      <c r="B467" s="7" t="s">
        <v>460</v>
      </c>
      <c r="C467" s="6"/>
      <c r="D467" s="8" t="str">
        <f t="shared" ref="D467" si="121">+IF(C467="","",+IF(C467=0,"No Cumple",+IF(C467=1,"Cumple Parcial",+IF(C467=2,"Cumple Completo",+IF(C467="N","NA")))))</f>
        <v/>
      </c>
      <c r="E467" s="39"/>
    </row>
    <row r="468" spans="1:5" ht="29.15" customHeight="1" thickBot="1">
      <c r="A468" s="12"/>
      <c r="B468" s="18"/>
      <c r="C468" s="16">
        <f>SUM(C467:C467)</f>
        <v>0</v>
      </c>
      <c r="D468" s="16">
        <f>+COUNT(C467:C467)*2</f>
        <v>0</v>
      </c>
      <c r="E468" s="40" t="str">
        <f>+IF(C467="","",C468/D468)</f>
        <v/>
      </c>
    </row>
    <row r="469" spans="1:5" ht="23.15" customHeight="1">
      <c r="A469" s="34" t="s">
        <v>461</v>
      </c>
      <c r="B469" s="33" t="s">
        <v>462</v>
      </c>
    </row>
    <row r="470" spans="1:5" ht="31" customHeight="1">
      <c r="A470" s="6">
        <f>1+A467</f>
        <v>319</v>
      </c>
      <c r="B470" s="7" t="s">
        <v>534</v>
      </c>
      <c r="C470" s="6"/>
      <c r="D470" s="8" t="str">
        <f t="shared" ref="D470:D483" si="122">+IF(C470="","",+IF(C470=0,"No Cumple",+IF(C470=1,"Cumple Parcial",+IF(C470=2,"Cumple Completo",+IF(C470="N","NA")))))</f>
        <v/>
      </c>
      <c r="E470" s="39"/>
    </row>
    <row r="471" spans="1:5" ht="31" customHeight="1">
      <c r="A471" s="6">
        <f>1+A470</f>
        <v>320</v>
      </c>
      <c r="B471" s="7" t="s">
        <v>463</v>
      </c>
      <c r="C471" s="6"/>
      <c r="D471" s="8" t="str">
        <f t="shared" si="122"/>
        <v/>
      </c>
      <c r="E471" s="39"/>
    </row>
    <row r="472" spans="1:5" ht="31" customHeight="1">
      <c r="A472" s="6">
        <f t="shared" ref="A472:A479" si="123">1+A471</f>
        <v>321</v>
      </c>
      <c r="B472" s="7" t="s">
        <v>535</v>
      </c>
      <c r="C472" s="6"/>
      <c r="D472" s="8" t="str">
        <f t="shared" si="122"/>
        <v/>
      </c>
      <c r="E472" s="39"/>
    </row>
    <row r="473" spans="1:5" ht="31" customHeight="1">
      <c r="A473" s="6">
        <f t="shared" si="123"/>
        <v>322</v>
      </c>
      <c r="B473" s="7" t="s">
        <v>464</v>
      </c>
      <c r="C473" s="6"/>
      <c r="D473" s="8" t="str">
        <f t="shared" si="122"/>
        <v/>
      </c>
      <c r="E473" s="39"/>
    </row>
    <row r="474" spans="1:5" ht="31" customHeight="1">
      <c r="A474" s="6">
        <f t="shared" si="123"/>
        <v>323</v>
      </c>
      <c r="B474" s="7" t="s">
        <v>465</v>
      </c>
      <c r="C474" s="6"/>
      <c r="D474" s="8" t="str">
        <f t="shared" si="122"/>
        <v/>
      </c>
      <c r="E474" s="39"/>
    </row>
    <row r="475" spans="1:5" ht="31" customHeight="1">
      <c r="A475" s="6">
        <f t="shared" si="123"/>
        <v>324</v>
      </c>
      <c r="B475" s="7" t="s">
        <v>466</v>
      </c>
      <c r="C475" s="6"/>
      <c r="D475" s="8" t="str">
        <f t="shared" si="122"/>
        <v/>
      </c>
      <c r="E475" s="39"/>
    </row>
    <row r="476" spans="1:5" ht="31" customHeight="1">
      <c r="A476" s="6">
        <f t="shared" si="123"/>
        <v>325</v>
      </c>
      <c r="B476" s="7" t="s">
        <v>467</v>
      </c>
      <c r="C476" s="6"/>
      <c r="D476" s="8" t="str">
        <f t="shared" si="122"/>
        <v/>
      </c>
      <c r="E476" s="39"/>
    </row>
    <row r="477" spans="1:5" ht="31" customHeight="1">
      <c r="A477" s="6">
        <f t="shared" si="123"/>
        <v>326</v>
      </c>
      <c r="B477" s="7" t="s">
        <v>468</v>
      </c>
      <c r="C477" s="6"/>
      <c r="D477" s="8" t="str">
        <f t="shared" si="122"/>
        <v/>
      </c>
      <c r="E477" s="39"/>
    </row>
    <row r="478" spans="1:5" ht="31" customHeight="1">
      <c r="A478" s="6">
        <f t="shared" si="123"/>
        <v>327</v>
      </c>
      <c r="B478" s="7" t="s">
        <v>469</v>
      </c>
      <c r="C478" s="6"/>
      <c r="D478" s="8" t="str">
        <f t="shared" si="122"/>
        <v/>
      </c>
      <c r="E478" s="39"/>
    </row>
    <row r="479" spans="1:5" ht="31" customHeight="1">
      <c r="A479" s="6">
        <f t="shared" si="123"/>
        <v>328</v>
      </c>
      <c r="B479" s="7" t="s">
        <v>470</v>
      </c>
      <c r="C479" s="6"/>
      <c r="D479" s="8" t="str">
        <f t="shared" si="122"/>
        <v/>
      </c>
      <c r="E479" s="39"/>
    </row>
    <row r="480" spans="1:5" ht="31" customHeight="1">
      <c r="A480" s="6">
        <f t="shared" ref="A480:A483" si="124">1+A479</f>
        <v>329</v>
      </c>
      <c r="B480" s="7" t="s">
        <v>471</v>
      </c>
      <c r="C480" s="6"/>
      <c r="D480" s="8" t="str">
        <f t="shared" si="122"/>
        <v/>
      </c>
      <c r="E480" s="39"/>
    </row>
    <row r="481" spans="1:7" ht="31" customHeight="1">
      <c r="A481" s="6">
        <f t="shared" si="124"/>
        <v>330</v>
      </c>
      <c r="B481" s="7" t="s">
        <v>472</v>
      </c>
      <c r="C481" s="6"/>
      <c r="D481" s="8" t="str">
        <f t="shared" si="122"/>
        <v/>
      </c>
      <c r="E481" s="39"/>
    </row>
    <row r="482" spans="1:7" ht="31" customHeight="1">
      <c r="A482" s="6">
        <f t="shared" si="124"/>
        <v>331</v>
      </c>
      <c r="B482" s="7" t="s">
        <v>473</v>
      </c>
      <c r="C482" s="6"/>
      <c r="D482" s="8" t="str">
        <f t="shared" si="122"/>
        <v/>
      </c>
      <c r="E482" s="39"/>
    </row>
    <row r="483" spans="1:7" ht="31" customHeight="1">
      <c r="A483" s="6">
        <f t="shared" si="124"/>
        <v>332</v>
      </c>
      <c r="B483" s="7" t="s">
        <v>474</v>
      </c>
      <c r="C483" s="6"/>
      <c r="D483" s="8" t="str">
        <f t="shared" si="122"/>
        <v/>
      </c>
      <c r="E483" s="39"/>
    </row>
    <row r="484" spans="1:7" ht="29.15" customHeight="1" thickBot="1">
      <c r="A484" s="12"/>
      <c r="B484" s="18"/>
      <c r="C484" s="16">
        <f>SUM(C470:C483)</f>
        <v>0</v>
      </c>
      <c r="D484" s="16">
        <f>+COUNT(C470:C483)*2</f>
        <v>0</v>
      </c>
      <c r="E484" s="40" t="str">
        <f>+IF(C470="","",C484/D484)</f>
        <v/>
      </c>
    </row>
    <row r="485" spans="1:7" ht="23.15" customHeight="1">
      <c r="A485" s="34" t="s">
        <v>475</v>
      </c>
      <c r="B485" s="33" t="s">
        <v>476</v>
      </c>
    </row>
    <row r="486" spans="1:7" ht="30" customHeight="1">
      <c r="A486" s="6">
        <f>1+A483</f>
        <v>333</v>
      </c>
      <c r="B486" s="7" t="s">
        <v>477</v>
      </c>
      <c r="C486" s="6"/>
      <c r="D486" s="8" t="str">
        <f t="shared" ref="D486:D490" si="125">+IF(C486="","",+IF(C486=0,"No Cumple",+IF(C486=1,"Cumple Parcial",+IF(C486=2,"Cumple Completo",+IF(C486="N","NA")))))</f>
        <v/>
      </c>
      <c r="E486" s="39"/>
    </row>
    <row r="487" spans="1:7" ht="31" customHeight="1">
      <c r="A487" s="6">
        <f t="shared" ref="A487:A490" si="126">1+A486</f>
        <v>334</v>
      </c>
      <c r="B487" s="7" t="s">
        <v>478</v>
      </c>
      <c r="C487" s="6"/>
      <c r="D487" s="8" t="str">
        <f t="shared" si="125"/>
        <v/>
      </c>
      <c r="E487" s="39"/>
    </row>
    <row r="488" spans="1:7" ht="31" customHeight="1">
      <c r="A488" s="6">
        <f t="shared" si="126"/>
        <v>335</v>
      </c>
      <c r="B488" s="7" t="s">
        <v>479</v>
      </c>
      <c r="C488" s="6"/>
      <c r="D488" s="8" t="str">
        <f t="shared" si="125"/>
        <v/>
      </c>
      <c r="E488" s="39"/>
    </row>
    <row r="489" spans="1:7" ht="31" customHeight="1">
      <c r="A489" s="6">
        <f t="shared" si="126"/>
        <v>336</v>
      </c>
      <c r="B489" s="7" t="s">
        <v>480</v>
      </c>
      <c r="C489" s="6"/>
      <c r="D489" s="8" t="str">
        <f t="shared" si="125"/>
        <v/>
      </c>
      <c r="E489" s="39"/>
    </row>
    <row r="490" spans="1:7" ht="31">
      <c r="A490" s="6">
        <f t="shared" si="126"/>
        <v>337</v>
      </c>
      <c r="B490" s="7" t="s">
        <v>481</v>
      </c>
      <c r="C490" s="6"/>
      <c r="D490" s="8" t="str">
        <f t="shared" si="125"/>
        <v/>
      </c>
      <c r="E490" s="39"/>
    </row>
    <row r="491" spans="1:7" ht="29.15" customHeight="1" thickBot="1">
      <c r="A491" s="12"/>
      <c r="B491" s="18"/>
      <c r="C491" s="16">
        <f>SUM(C486:C490)</f>
        <v>0</v>
      </c>
      <c r="D491" s="16">
        <f>+COUNT(C486:C490)*2</f>
        <v>0</v>
      </c>
      <c r="E491" s="40" t="str">
        <f>+IF(C486="","",C491/D491)</f>
        <v/>
      </c>
      <c r="G491" s="29" t="str">
        <f>+IFERROR(+AVERAGE(E435,E438,E449,E456,E464,E468,E484,E491),"")</f>
        <v/>
      </c>
    </row>
    <row r="492" spans="1:7" ht="23.15" customHeight="1">
      <c r="A492" s="35">
        <v>10</v>
      </c>
      <c r="B492" s="32" t="s">
        <v>482</v>
      </c>
    </row>
    <row r="493" spans="1:7" ht="22" customHeight="1">
      <c r="A493" s="34" t="s">
        <v>483</v>
      </c>
      <c r="B493" s="33" t="s">
        <v>10</v>
      </c>
    </row>
    <row r="494" spans="1:7" ht="31">
      <c r="A494" s="6">
        <f>1+A490</f>
        <v>338</v>
      </c>
      <c r="B494" s="7" t="s">
        <v>484</v>
      </c>
      <c r="C494" s="6"/>
      <c r="D494" s="8" t="str">
        <f t="shared" ref="D494:D498" si="127">+IF(C494="","",+IF(C494=0,"No Cumple",+IF(C494=1,"Cumple Parcial",+IF(C494=2,"Cumple Completo",+IF(C494="N","NA")))))</f>
        <v/>
      </c>
      <c r="E494" s="39"/>
    </row>
    <row r="495" spans="1:7" ht="31" customHeight="1">
      <c r="A495" s="6">
        <f t="shared" ref="A495:A498" si="128">1+A494</f>
        <v>339</v>
      </c>
      <c r="B495" s="7" t="s">
        <v>485</v>
      </c>
      <c r="C495" s="6"/>
      <c r="D495" s="8" t="str">
        <f t="shared" si="127"/>
        <v/>
      </c>
      <c r="E495" s="39"/>
    </row>
    <row r="496" spans="1:7" ht="31">
      <c r="A496" s="6">
        <f t="shared" si="128"/>
        <v>340</v>
      </c>
      <c r="B496" s="7" t="s">
        <v>486</v>
      </c>
      <c r="C496" s="6"/>
      <c r="D496" s="8" t="str">
        <f t="shared" si="127"/>
        <v/>
      </c>
      <c r="E496" s="39"/>
    </row>
    <row r="497" spans="1:5" ht="31" customHeight="1">
      <c r="A497" s="6">
        <f t="shared" si="128"/>
        <v>341</v>
      </c>
      <c r="B497" s="7" t="s">
        <v>487</v>
      </c>
      <c r="C497" s="6"/>
      <c r="D497" s="8" t="str">
        <f t="shared" si="127"/>
        <v/>
      </c>
      <c r="E497" s="39"/>
    </row>
    <row r="498" spans="1:5" ht="31" customHeight="1">
      <c r="A498" s="6">
        <f t="shared" si="128"/>
        <v>342</v>
      </c>
      <c r="B498" s="7" t="s">
        <v>488</v>
      </c>
      <c r="C498" s="6"/>
      <c r="D498" s="8" t="str">
        <f t="shared" si="127"/>
        <v/>
      </c>
      <c r="E498" s="39"/>
    </row>
    <row r="499" spans="1:5" ht="29.15" customHeight="1" thickBot="1">
      <c r="A499" s="12"/>
      <c r="B499" s="18"/>
      <c r="C499" s="16">
        <f>SUM(C494:C498)</f>
        <v>0</v>
      </c>
      <c r="D499" s="16">
        <f>+COUNT(C494:C498)*2</f>
        <v>0</v>
      </c>
      <c r="E499" s="40" t="str">
        <f>+IF(C494="","",C499/D499)</f>
        <v/>
      </c>
    </row>
    <row r="500" spans="1:5" ht="22" customHeight="1">
      <c r="A500" s="34" t="s">
        <v>489</v>
      </c>
      <c r="B500" s="33" t="s">
        <v>490</v>
      </c>
    </row>
    <row r="501" spans="1:5" ht="22" customHeight="1">
      <c r="A501" s="34" t="s">
        <v>491</v>
      </c>
      <c r="B501" s="33" t="s">
        <v>492</v>
      </c>
    </row>
    <row r="502" spans="1:5" ht="33" customHeight="1">
      <c r="A502" s="6">
        <f>1+A498</f>
        <v>343</v>
      </c>
      <c r="B502" s="7" t="s">
        <v>493</v>
      </c>
      <c r="C502" s="6"/>
      <c r="D502" s="8" t="str">
        <f t="shared" ref="D502:D513" si="129">+IF(C502="","",+IF(C502=0,"No Cumple",+IF(C502=1,"Cumple Parcial",+IF(C502=2,"Cumple Completo",+IF(C502="N","NA")))))</f>
        <v/>
      </c>
      <c r="E502" s="39"/>
    </row>
    <row r="503" spans="1:5" ht="33" customHeight="1">
      <c r="A503" s="6">
        <f t="shared" ref="A503:A513" si="130">1+A502</f>
        <v>344</v>
      </c>
      <c r="B503" s="7" t="s">
        <v>494</v>
      </c>
      <c r="C503" s="6"/>
      <c r="D503" s="8" t="str">
        <f t="shared" si="129"/>
        <v/>
      </c>
      <c r="E503" s="39"/>
    </row>
    <row r="504" spans="1:5" ht="33" customHeight="1">
      <c r="A504" s="6">
        <f t="shared" si="130"/>
        <v>345</v>
      </c>
      <c r="B504" s="7" t="s">
        <v>495</v>
      </c>
      <c r="C504" s="6"/>
      <c r="D504" s="8" t="str">
        <f t="shared" si="129"/>
        <v/>
      </c>
      <c r="E504" s="39"/>
    </row>
    <row r="505" spans="1:5" ht="33" customHeight="1">
      <c r="A505" s="6">
        <f t="shared" si="130"/>
        <v>346</v>
      </c>
      <c r="B505" s="7" t="s">
        <v>496</v>
      </c>
      <c r="C505" s="6"/>
      <c r="D505" s="8" t="str">
        <f t="shared" si="129"/>
        <v/>
      </c>
      <c r="E505" s="39"/>
    </row>
    <row r="506" spans="1:5" ht="33" customHeight="1">
      <c r="A506" s="6">
        <f t="shared" si="130"/>
        <v>347</v>
      </c>
      <c r="B506" s="7" t="s">
        <v>497</v>
      </c>
      <c r="C506" s="6"/>
      <c r="D506" s="8" t="str">
        <f t="shared" si="129"/>
        <v/>
      </c>
      <c r="E506" s="39"/>
    </row>
    <row r="507" spans="1:5" ht="33" customHeight="1">
      <c r="A507" s="6">
        <f t="shared" si="130"/>
        <v>348</v>
      </c>
      <c r="B507" s="7" t="s">
        <v>498</v>
      </c>
      <c r="C507" s="6"/>
      <c r="D507" s="8" t="str">
        <f t="shared" si="129"/>
        <v/>
      </c>
      <c r="E507" s="39"/>
    </row>
    <row r="508" spans="1:5" ht="33" customHeight="1">
      <c r="A508" s="6">
        <f t="shared" si="130"/>
        <v>349</v>
      </c>
      <c r="B508" s="7" t="s">
        <v>499</v>
      </c>
      <c r="C508" s="6"/>
      <c r="D508" s="8" t="str">
        <f t="shared" si="129"/>
        <v/>
      </c>
      <c r="E508" s="39"/>
    </row>
    <row r="509" spans="1:5" ht="33" customHeight="1">
      <c r="A509" s="6">
        <f t="shared" si="130"/>
        <v>350</v>
      </c>
      <c r="B509" s="7" t="s">
        <v>500</v>
      </c>
      <c r="C509" s="6"/>
      <c r="D509" s="8" t="str">
        <f t="shared" si="129"/>
        <v/>
      </c>
      <c r="E509" s="39"/>
    </row>
    <row r="510" spans="1:5" ht="33" customHeight="1">
      <c r="A510" s="6">
        <f t="shared" si="130"/>
        <v>351</v>
      </c>
      <c r="B510" s="7" t="s">
        <v>502</v>
      </c>
      <c r="C510" s="6"/>
      <c r="D510" s="8" t="str">
        <f t="shared" si="129"/>
        <v/>
      </c>
      <c r="E510" s="39"/>
    </row>
    <row r="511" spans="1:5" ht="33" customHeight="1">
      <c r="A511" s="6">
        <f t="shared" si="130"/>
        <v>352</v>
      </c>
      <c r="B511" s="7" t="s">
        <v>536</v>
      </c>
      <c r="C511" s="6"/>
      <c r="D511" s="8" t="str">
        <f t="shared" si="129"/>
        <v/>
      </c>
      <c r="E511" s="39"/>
    </row>
    <row r="512" spans="1:5" ht="33" customHeight="1">
      <c r="A512" s="6">
        <f t="shared" si="130"/>
        <v>353</v>
      </c>
      <c r="B512" s="7" t="s">
        <v>501</v>
      </c>
      <c r="C512" s="6"/>
      <c r="D512" s="8" t="str">
        <f t="shared" si="129"/>
        <v/>
      </c>
      <c r="E512" s="39"/>
    </row>
    <row r="513" spans="1:8" ht="33" customHeight="1">
      <c r="A513" s="6">
        <f t="shared" si="130"/>
        <v>354</v>
      </c>
      <c r="B513" s="7" t="s">
        <v>503</v>
      </c>
      <c r="C513" s="6"/>
      <c r="D513" s="8" t="str">
        <f t="shared" si="129"/>
        <v/>
      </c>
      <c r="E513" s="39"/>
    </row>
    <row r="514" spans="1:8" ht="29.15" customHeight="1" thickBot="1">
      <c r="A514" s="12"/>
      <c r="B514" s="18"/>
      <c r="C514" s="16">
        <f>SUM(C502:C513)</f>
        <v>0</v>
      </c>
      <c r="D514" s="16">
        <f>+COUNT(C502:C513)*2</f>
        <v>0</v>
      </c>
      <c r="E514" s="40" t="str">
        <f>+IF(C502="","",C514/D514)</f>
        <v/>
      </c>
    </row>
    <row r="515" spans="1:8" ht="25" customHeight="1">
      <c r="A515" s="34" t="s">
        <v>504</v>
      </c>
      <c r="B515" s="33" t="s">
        <v>505</v>
      </c>
    </row>
    <row r="516" spans="1:8" ht="33" customHeight="1">
      <c r="A516" s="6">
        <f>1+A513</f>
        <v>355</v>
      </c>
      <c r="B516" s="7" t="s">
        <v>506</v>
      </c>
      <c r="C516" s="6"/>
      <c r="D516" s="8" t="str">
        <f t="shared" ref="D516" si="131">+IF(C516="","",+IF(C516=0,"No Cumple",+IF(C516=1,"Cumple Parcial",+IF(C516=2,"Cumple Completo",+IF(C516="N","NA")))))</f>
        <v/>
      </c>
      <c r="E516" s="39"/>
    </row>
    <row r="517" spans="1:8" ht="33" customHeight="1">
      <c r="A517" s="6">
        <f>1+A516</f>
        <v>356</v>
      </c>
      <c r="B517" s="7" t="s">
        <v>507</v>
      </c>
      <c r="C517" s="6"/>
      <c r="D517" s="8" t="str">
        <f t="shared" ref="D517" si="132">+IF(C517="","",+IF(C517=0,"No Cumple",+IF(C517=1,"Cumple Parcial",+IF(C517=2,"Cumple Completo",+IF(C517="N","NA")))))</f>
        <v/>
      </c>
      <c r="E517" s="39"/>
    </row>
    <row r="518" spans="1:8" ht="29.15" customHeight="1" thickBot="1">
      <c r="A518" s="12"/>
      <c r="B518" s="18"/>
      <c r="C518" s="16">
        <f>SUM(C516:C517)</f>
        <v>0</v>
      </c>
      <c r="D518" s="16">
        <f>+COUNT(C516:C517)*2</f>
        <v>0</v>
      </c>
      <c r="E518" s="40" t="str">
        <f>+IF(C516="","",C518/D518)</f>
        <v/>
      </c>
    </row>
    <row r="519" spans="1:8" ht="25" customHeight="1">
      <c r="A519" s="35" t="s">
        <v>508</v>
      </c>
      <c r="B519" s="32" t="s">
        <v>509</v>
      </c>
    </row>
    <row r="520" spans="1:8" ht="31">
      <c r="A520" s="6">
        <f>1+A517</f>
        <v>357</v>
      </c>
      <c r="B520" s="7" t="s">
        <v>537</v>
      </c>
      <c r="C520" s="6"/>
      <c r="D520" s="8" t="str">
        <f t="shared" ref="D520:D521" si="133">+IF(C520="","",+IF(C520=0,"No Cumple",+IF(C520=1,"Cumple Parcial",+IF(C520=2,"Cumple Completo",+IF(C520="N","NA")))))</f>
        <v/>
      </c>
      <c r="E520" s="39"/>
    </row>
    <row r="521" spans="1:8" ht="46.5">
      <c r="A521" s="6">
        <f>1+A520</f>
        <v>358</v>
      </c>
      <c r="B521" s="7" t="s">
        <v>510</v>
      </c>
      <c r="C521" s="6"/>
      <c r="D521" s="8" t="str">
        <f t="shared" si="133"/>
        <v/>
      </c>
      <c r="E521" s="39"/>
    </row>
    <row r="522" spans="1:8" ht="29.15" customHeight="1" thickBot="1">
      <c r="A522" s="12"/>
      <c r="B522" s="18"/>
      <c r="C522" s="16">
        <f>SUM(C520:C521)</f>
        <v>0</v>
      </c>
      <c r="D522" s="16">
        <f>+COUNT(C520:C521)*2</f>
        <v>0</v>
      </c>
      <c r="E522" s="40" t="str">
        <f>+IF(C520="","",C522/D522)</f>
        <v/>
      </c>
      <c r="G522" s="29" t="str">
        <f>+IFERROR(+AVERAGE(E499,E514,E518,E522),"")</f>
        <v/>
      </c>
      <c r="H522" s="1" t="s">
        <v>55</v>
      </c>
    </row>
  </sheetData>
  <conditionalFormatting sqref="E7">
    <cfRule type="cellIs" dxfId="631" priority="1" operator="between">
      <formula>0.96</formula>
      <formula>1</formula>
    </cfRule>
    <cfRule type="cellIs" dxfId="630" priority="2" operator="between">
      <formula>0.75</formula>
      <formula>95.9999</formula>
    </cfRule>
    <cfRule type="cellIs" dxfId="629" priority="3" operator="between">
      <formula>0.6</formula>
      <formula>74.9999%</formula>
    </cfRule>
    <cfRule type="cellIs" dxfId="628" priority="4" operator="between">
      <formula>0</formula>
      <formula>59.9999%</formula>
    </cfRule>
  </conditionalFormatting>
  <conditionalFormatting sqref="E13">
    <cfRule type="cellIs" dxfId="627" priority="334" operator="between">
      <formula>0.75</formula>
      <formula>95.9999</formula>
    </cfRule>
    <cfRule type="cellIs" dxfId="626" priority="335" operator="between">
      <formula>0.6</formula>
      <formula>74.9999%</formula>
    </cfRule>
    <cfRule type="cellIs" dxfId="625" priority="336" operator="between">
      <formula>0</formula>
      <formula>59.9999%</formula>
    </cfRule>
    <cfRule type="cellIs" dxfId="624" priority="333" operator="between">
      <formula>0.96</formula>
      <formula>1</formula>
    </cfRule>
  </conditionalFormatting>
  <conditionalFormatting sqref="E23">
    <cfRule type="cellIs" dxfId="623" priority="332" operator="between">
      <formula>0</formula>
      <formula>59.9999%</formula>
    </cfRule>
    <cfRule type="cellIs" dxfId="622" priority="331" operator="between">
      <formula>0.6</formula>
      <formula>74.9999%</formula>
    </cfRule>
    <cfRule type="cellIs" dxfId="621" priority="330" operator="between">
      <formula>0.75</formula>
      <formula>95.9999</formula>
    </cfRule>
    <cfRule type="cellIs" dxfId="620" priority="329" operator="between">
      <formula>0.96</formula>
      <formula>1</formula>
    </cfRule>
  </conditionalFormatting>
  <conditionalFormatting sqref="E36">
    <cfRule type="cellIs" dxfId="619" priority="328" operator="between">
      <formula>0</formula>
      <formula>59.9999%</formula>
    </cfRule>
    <cfRule type="cellIs" dxfId="618" priority="327" operator="between">
      <formula>0.6</formula>
      <formula>74.9999%</formula>
    </cfRule>
    <cfRule type="cellIs" dxfId="617" priority="326" operator="between">
      <formula>0.75</formula>
      <formula>95.9999</formula>
    </cfRule>
    <cfRule type="cellIs" dxfId="616" priority="325" operator="between">
      <formula>0.96</formula>
      <formula>1</formula>
    </cfRule>
  </conditionalFormatting>
  <conditionalFormatting sqref="E41">
    <cfRule type="cellIs" dxfId="615" priority="324" operator="between">
      <formula>0</formula>
      <formula>59.9999%</formula>
    </cfRule>
    <cfRule type="cellIs" dxfId="614" priority="323" operator="between">
      <formula>0.6</formula>
      <formula>74.9999%</formula>
    </cfRule>
    <cfRule type="cellIs" dxfId="613" priority="322" operator="between">
      <formula>0.75</formula>
      <formula>95.9999</formula>
    </cfRule>
    <cfRule type="cellIs" dxfId="612" priority="321" operator="between">
      <formula>0.96</formula>
      <formula>1</formula>
    </cfRule>
  </conditionalFormatting>
  <conditionalFormatting sqref="E57">
    <cfRule type="cellIs" dxfId="611" priority="320" operator="between">
      <formula>0</formula>
      <formula>59.9999%</formula>
    </cfRule>
    <cfRule type="cellIs" dxfId="610" priority="319" operator="between">
      <formula>0.6</formula>
      <formula>74.9999%</formula>
    </cfRule>
    <cfRule type="cellIs" dxfId="609" priority="318" operator="between">
      <formula>0.75</formula>
      <formula>95.9999</formula>
    </cfRule>
    <cfRule type="cellIs" dxfId="608" priority="317" operator="between">
      <formula>0.96</formula>
      <formula>1</formula>
    </cfRule>
  </conditionalFormatting>
  <conditionalFormatting sqref="E63">
    <cfRule type="cellIs" dxfId="607" priority="315" operator="between">
      <formula>0.6</formula>
      <formula>74.9999%</formula>
    </cfRule>
    <cfRule type="cellIs" dxfId="606" priority="314" operator="between">
      <formula>0.75</formula>
      <formula>95.9999</formula>
    </cfRule>
    <cfRule type="cellIs" dxfId="605" priority="313" operator="between">
      <formula>0.96</formula>
      <formula>1</formula>
    </cfRule>
    <cfRule type="cellIs" dxfId="604" priority="316" operator="between">
      <formula>0</formula>
      <formula>59.9999%</formula>
    </cfRule>
  </conditionalFormatting>
  <conditionalFormatting sqref="E71">
    <cfRule type="cellIs" dxfId="603" priority="312" operator="between">
      <formula>0</formula>
      <formula>59.9999%</formula>
    </cfRule>
    <cfRule type="cellIs" dxfId="602" priority="311" operator="between">
      <formula>0.6</formula>
      <formula>74.9999%</formula>
    </cfRule>
    <cfRule type="cellIs" dxfId="601" priority="310" operator="between">
      <formula>0.75</formula>
      <formula>95.9999</formula>
    </cfRule>
    <cfRule type="cellIs" dxfId="600" priority="309" operator="between">
      <formula>0.96</formula>
      <formula>1</formula>
    </cfRule>
  </conditionalFormatting>
  <conditionalFormatting sqref="E77">
    <cfRule type="cellIs" dxfId="599" priority="308" operator="between">
      <formula>0</formula>
      <formula>59.9999%</formula>
    </cfRule>
    <cfRule type="cellIs" dxfId="598" priority="307" operator="between">
      <formula>0.6</formula>
      <formula>74.9999%</formula>
    </cfRule>
    <cfRule type="cellIs" dxfId="597" priority="306" operator="between">
      <formula>0.75</formula>
      <formula>95.9999</formula>
    </cfRule>
    <cfRule type="cellIs" dxfId="596" priority="305" operator="between">
      <formula>0.96</formula>
      <formula>1</formula>
    </cfRule>
  </conditionalFormatting>
  <conditionalFormatting sqref="E86">
    <cfRule type="cellIs" dxfId="595" priority="304" operator="between">
      <formula>0</formula>
      <formula>59.9999%</formula>
    </cfRule>
    <cfRule type="cellIs" dxfId="594" priority="303" operator="between">
      <formula>0.6</formula>
      <formula>74.9999%</formula>
    </cfRule>
    <cfRule type="cellIs" dxfId="593" priority="302" operator="between">
      <formula>0.75</formula>
      <formula>95.9999</formula>
    </cfRule>
    <cfRule type="cellIs" dxfId="592" priority="301" operator="between">
      <formula>0.96</formula>
      <formula>1</formula>
    </cfRule>
  </conditionalFormatting>
  <conditionalFormatting sqref="E95">
    <cfRule type="cellIs" dxfId="591" priority="300" operator="between">
      <formula>0</formula>
      <formula>59.9999%</formula>
    </cfRule>
    <cfRule type="cellIs" dxfId="590" priority="299" operator="between">
      <formula>0.6</formula>
      <formula>74.9999%</formula>
    </cfRule>
    <cfRule type="cellIs" dxfId="589" priority="298" operator="between">
      <formula>0.75</formula>
      <formula>95.9999</formula>
    </cfRule>
    <cfRule type="cellIs" dxfId="588" priority="297" operator="between">
      <formula>0.96</formula>
      <formula>1</formula>
    </cfRule>
  </conditionalFormatting>
  <conditionalFormatting sqref="E102">
    <cfRule type="cellIs" dxfId="587" priority="296" operator="between">
      <formula>0</formula>
      <formula>59.9999%</formula>
    </cfRule>
    <cfRule type="cellIs" dxfId="586" priority="295" operator="between">
      <formula>0.6</formula>
      <formula>74.9999%</formula>
    </cfRule>
    <cfRule type="cellIs" dxfId="585" priority="294" operator="between">
      <formula>0.75</formula>
      <formula>95.9999</formula>
    </cfRule>
    <cfRule type="cellIs" dxfId="584" priority="293" operator="between">
      <formula>0.96</formula>
      <formula>1</formula>
    </cfRule>
  </conditionalFormatting>
  <conditionalFormatting sqref="E115">
    <cfRule type="cellIs" dxfId="583" priority="292" operator="between">
      <formula>0</formula>
      <formula>59.9999%</formula>
    </cfRule>
    <cfRule type="cellIs" dxfId="582" priority="291" operator="between">
      <formula>0.6</formula>
      <formula>74.9999%</formula>
    </cfRule>
    <cfRule type="cellIs" dxfId="581" priority="290" operator="between">
      <formula>0.75</formula>
      <formula>95.9999</formula>
    </cfRule>
    <cfRule type="cellIs" dxfId="580" priority="289" operator="between">
      <formula>0.96</formula>
      <formula>1</formula>
    </cfRule>
  </conditionalFormatting>
  <conditionalFormatting sqref="E123">
    <cfRule type="cellIs" dxfId="579" priority="288" operator="between">
      <formula>0</formula>
      <formula>59.9999%</formula>
    </cfRule>
    <cfRule type="cellIs" dxfId="578" priority="287" operator="between">
      <formula>0.6</formula>
      <formula>74.9999%</formula>
    </cfRule>
    <cfRule type="cellIs" dxfId="577" priority="286" operator="between">
      <formula>0.75</formula>
      <formula>95.9999</formula>
    </cfRule>
    <cfRule type="cellIs" dxfId="576" priority="285" operator="between">
      <formula>0.96</formula>
      <formula>1</formula>
    </cfRule>
  </conditionalFormatting>
  <conditionalFormatting sqref="E131">
    <cfRule type="cellIs" dxfId="575" priority="280" operator="between">
      <formula>0</formula>
      <formula>59.9999%</formula>
    </cfRule>
    <cfRule type="cellIs" dxfId="574" priority="279" operator="between">
      <formula>0.6</formula>
      <formula>74.9999%</formula>
    </cfRule>
    <cfRule type="cellIs" dxfId="573" priority="278" operator="between">
      <formula>0.75</formula>
      <formula>95.9999</formula>
    </cfRule>
    <cfRule type="cellIs" dxfId="572" priority="277" operator="between">
      <formula>0.96</formula>
      <formula>1</formula>
    </cfRule>
  </conditionalFormatting>
  <conditionalFormatting sqref="E139">
    <cfRule type="cellIs" dxfId="571" priority="276" operator="between">
      <formula>0</formula>
      <formula>59.9999%</formula>
    </cfRule>
    <cfRule type="cellIs" dxfId="570" priority="274" operator="between">
      <formula>0.75</formula>
      <formula>95.9999</formula>
    </cfRule>
    <cfRule type="cellIs" dxfId="569" priority="273" operator="between">
      <formula>0.96</formula>
      <formula>1</formula>
    </cfRule>
    <cfRule type="cellIs" dxfId="568" priority="275" operator="between">
      <formula>0.6</formula>
      <formula>74.9999%</formula>
    </cfRule>
  </conditionalFormatting>
  <conditionalFormatting sqref="E142">
    <cfRule type="cellIs" dxfId="567" priority="248" operator="between">
      <formula>0</formula>
      <formula>59.9999%</formula>
    </cfRule>
    <cfRule type="cellIs" dxfId="566" priority="247" operator="between">
      <formula>0.6</formula>
      <formula>74.9999%</formula>
    </cfRule>
    <cfRule type="cellIs" dxfId="565" priority="246" operator="between">
      <formula>0.75</formula>
      <formula>95.9999</formula>
    </cfRule>
    <cfRule type="cellIs" dxfId="564" priority="245" operator="between">
      <formula>0.96</formula>
      <formula>1</formula>
    </cfRule>
  </conditionalFormatting>
  <conditionalFormatting sqref="E150">
    <cfRule type="cellIs" dxfId="563" priority="244" operator="between">
      <formula>0</formula>
      <formula>59.9999%</formula>
    </cfRule>
    <cfRule type="cellIs" dxfId="562" priority="243" operator="between">
      <formula>0.6</formula>
      <formula>74.9999%</formula>
    </cfRule>
    <cfRule type="cellIs" dxfId="561" priority="241" operator="between">
      <formula>0.96</formula>
      <formula>1</formula>
    </cfRule>
    <cfRule type="cellIs" dxfId="560" priority="242" operator="between">
      <formula>0.75</formula>
      <formula>95.9999</formula>
    </cfRule>
  </conditionalFormatting>
  <conditionalFormatting sqref="E157">
    <cfRule type="cellIs" dxfId="559" priority="240" operator="between">
      <formula>0</formula>
      <formula>59.9999%</formula>
    </cfRule>
    <cfRule type="cellIs" dxfId="558" priority="239" operator="between">
      <formula>0.6</formula>
      <formula>74.9999%</formula>
    </cfRule>
    <cfRule type="cellIs" dxfId="557" priority="238" operator="between">
      <formula>0.75</formula>
      <formula>95.9999</formula>
    </cfRule>
    <cfRule type="cellIs" dxfId="556" priority="237" operator="between">
      <formula>0.96</formula>
      <formula>1</formula>
    </cfRule>
  </conditionalFormatting>
  <conditionalFormatting sqref="E165">
    <cfRule type="cellIs" dxfId="555" priority="236" operator="between">
      <formula>0</formula>
      <formula>59.9999%</formula>
    </cfRule>
    <cfRule type="cellIs" dxfId="554" priority="235" operator="between">
      <formula>0.6</formula>
      <formula>74.9999%</formula>
    </cfRule>
    <cfRule type="cellIs" dxfId="553" priority="234" operator="between">
      <formula>0.75</formula>
      <formula>95.9999</formula>
    </cfRule>
    <cfRule type="cellIs" dxfId="552" priority="233" operator="between">
      <formula>0.96</formula>
      <formula>1</formula>
    </cfRule>
  </conditionalFormatting>
  <conditionalFormatting sqref="E172">
    <cfRule type="cellIs" dxfId="551" priority="229" operator="between">
      <formula>0.96</formula>
      <formula>1</formula>
    </cfRule>
    <cfRule type="cellIs" dxfId="550" priority="231" operator="between">
      <formula>0.6</formula>
      <formula>74.9999%</formula>
    </cfRule>
    <cfRule type="cellIs" dxfId="549" priority="232" operator="between">
      <formula>0</formula>
      <formula>59.9999%</formula>
    </cfRule>
    <cfRule type="cellIs" dxfId="548" priority="230" operator="between">
      <formula>0.75</formula>
      <formula>95.9999</formula>
    </cfRule>
  </conditionalFormatting>
  <conditionalFormatting sqref="E177">
    <cfRule type="cellIs" dxfId="547" priority="227" operator="between">
      <formula>0.6</formula>
      <formula>74.9999%</formula>
    </cfRule>
    <cfRule type="cellIs" dxfId="546" priority="226" operator="between">
      <formula>0.75</formula>
      <formula>95.9999</formula>
    </cfRule>
    <cfRule type="cellIs" dxfId="545" priority="225" operator="between">
      <formula>0.96</formula>
      <formula>1</formula>
    </cfRule>
    <cfRule type="cellIs" dxfId="544" priority="228" operator="between">
      <formula>0</formula>
      <formula>59.9999%</formula>
    </cfRule>
  </conditionalFormatting>
  <conditionalFormatting sqref="E184">
    <cfRule type="cellIs" dxfId="543" priority="224" operator="between">
      <formula>0</formula>
      <formula>59.9999%</formula>
    </cfRule>
    <cfRule type="cellIs" dxfId="542" priority="223" operator="between">
      <formula>0.6</formula>
      <formula>74.9999%</formula>
    </cfRule>
    <cfRule type="cellIs" dxfId="541" priority="222" operator="between">
      <formula>0.75</formula>
      <formula>95.9999</formula>
    </cfRule>
    <cfRule type="cellIs" dxfId="540" priority="221" operator="between">
      <formula>0.96</formula>
      <formula>1</formula>
    </cfRule>
  </conditionalFormatting>
  <conditionalFormatting sqref="E191">
    <cfRule type="cellIs" dxfId="539" priority="220" operator="between">
      <formula>0</formula>
      <formula>59.9999%</formula>
    </cfRule>
    <cfRule type="cellIs" dxfId="538" priority="219" operator="between">
      <formula>0.6</formula>
      <formula>74.9999%</formula>
    </cfRule>
    <cfRule type="cellIs" dxfId="537" priority="218" operator="between">
      <formula>0.75</formula>
      <formula>95.9999</formula>
    </cfRule>
    <cfRule type="cellIs" dxfId="536" priority="217" operator="between">
      <formula>0.96</formula>
      <formula>1</formula>
    </cfRule>
  </conditionalFormatting>
  <conditionalFormatting sqref="E199">
    <cfRule type="cellIs" dxfId="535" priority="216" operator="between">
      <formula>0</formula>
      <formula>59.9999%</formula>
    </cfRule>
    <cfRule type="cellIs" dxfId="534" priority="215" operator="between">
      <formula>0.6</formula>
      <formula>74.9999%</formula>
    </cfRule>
    <cfRule type="cellIs" dxfId="533" priority="214" operator="between">
      <formula>0.75</formula>
      <formula>95.9999</formula>
    </cfRule>
    <cfRule type="cellIs" dxfId="532" priority="213" operator="between">
      <formula>0.96</formula>
      <formula>1</formula>
    </cfRule>
  </conditionalFormatting>
  <conditionalFormatting sqref="E205">
    <cfRule type="cellIs" dxfId="531" priority="209" operator="between">
      <formula>0.96</formula>
      <formula>1</formula>
    </cfRule>
    <cfRule type="cellIs" dxfId="530" priority="211" operator="between">
      <formula>0.6</formula>
      <formula>74.9999%</formula>
    </cfRule>
    <cfRule type="cellIs" dxfId="529" priority="212" operator="between">
      <formula>0</formula>
      <formula>59.9999%</formula>
    </cfRule>
    <cfRule type="cellIs" dxfId="528" priority="210" operator="between">
      <formula>0.75</formula>
      <formula>95.9999</formula>
    </cfRule>
  </conditionalFormatting>
  <conditionalFormatting sqref="E211">
    <cfRule type="cellIs" dxfId="527" priority="208" operator="between">
      <formula>0</formula>
      <formula>59.9999%</formula>
    </cfRule>
    <cfRule type="cellIs" dxfId="526" priority="207" operator="between">
      <formula>0.6</formula>
      <formula>74.9999%</formula>
    </cfRule>
    <cfRule type="cellIs" dxfId="525" priority="206" operator="between">
      <formula>0.75</formula>
      <formula>95.9999</formula>
    </cfRule>
    <cfRule type="cellIs" dxfId="524" priority="205" operator="between">
      <formula>0.96</formula>
      <formula>1</formula>
    </cfRule>
  </conditionalFormatting>
  <conditionalFormatting sqref="E217">
    <cfRule type="cellIs" dxfId="523" priority="204" operator="between">
      <formula>0</formula>
      <formula>59.9999%</formula>
    </cfRule>
    <cfRule type="cellIs" dxfId="522" priority="203" operator="between">
      <formula>0.6</formula>
      <formula>74.9999%</formula>
    </cfRule>
    <cfRule type="cellIs" dxfId="521" priority="202" operator="between">
      <formula>0.75</formula>
      <formula>95.9999</formula>
    </cfRule>
    <cfRule type="cellIs" dxfId="520" priority="201" operator="between">
      <formula>0.96</formula>
      <formula>1</formula>
    </cfRule>
  </conditionalFormatting>
  <conditionalFormatting sqref="E226">
    <cfRule type="cellIs" dxfId="519" priority="200" operator="between">
      <formula>0</formula>
      <formula>59.9999%</formula>
    </cfRule>
    <cfRule type="cellIs" dxfId="518" priority="199" operator="between">
      <formula>0.6</formula>
      <formula>74.9999%</formula>
    </cfRule>
    <cfRule type="cellIs" dxfId="517" priority="198" operator="between">
      <formula>0.75</formula>
      <formula>95.9999</formula>
    </cfRule>
    <cfRule type="cellIs" dxfId="516" priority="197" operator="between">
      <formula>0.96</formula>
      <formula>1</formula>
    </cfRule>
  </conditionalFormatting>
  <conditionalFormatting sqref="E242">
    <cfRule type="cellIs" dxfId="515" priority="196" operator="between">
      <formula>0</formula>
      <formula>59.9999%</formula>
    </cfRule>
    <cfRule type="cellIs" dxfId="514" priority="195" operator="between">
      <formula>0.6</formula>
      <formula>74.9999%</formula>
    </cfRule>
    <cfRule type="cellIs" dxfId="513" priority="194" operator="between">
      <formula>0.75</formula>
      <formula>95.9999</formula>
    </cfRule>
    <cfRule type="cellIs" dxfId="512" priority="193" operator="between">
      <formula>0.96</formula>
      <formula>1</formula>
    </cfRule>
  </conditionalFormatting>
  <conditionalFormatting sqref="E251">
    <cfRule type="cellIs" dxfId="511" priority="192" operator="between">
      <formula>0</formula>
      <formula>59.9999%</formula>
    </cfRule>
    <cfRule type="cellIs" dxfId="510" priority="191" operator="between">
      <formula>0.6</formula>
      <formula>74.9999%</formula>
    </cfRule>
    <cfRule type="cellIs" dxfId="509" priority="190" operator="between">
      <formula>0.75</formula>
      <formula>95.9999</formula>
    </cfRule>
    <cfRule type="cellIs" dxfId="508" priority="189" operator="between">
      <formula>0.96</formula>
      <formula>1</formula>
    </cfRule>
  </conditionalFormatting>
  <conditionalFormatting sqref="E258">
    <cfRule type="cellIs" dxfId="507" priority="188" operator="between">
      <formula>0</formula>
      <formula>59.9999%</formula>
    </cfRule>
    <cfRule type="cellIs" dxfId="506" priority="187" operator="between">
      <formula>0.6</formula>
      <formula>74.9999%</formula>
    </cfRule>
    <cfRule type="cellIs" dxfId="505" priority="186" operator="between">
      <formula>0.75</formula>
      <formula>95.9999</formula>
    </cfRule>
    <cfRule type="cellIs" dxfId="504" priority="185" operator="between">
      <formula>0.96</formula>
      <formula>1</formula>
    </cfRule>
  </conditionalFormatting>
  <conditionalFormatting sqref="E269">
    <cfRule type="cellIs" dxfId="503" priority="184" operator="between">
      <formula>0</formula>
      <formula>59.9999%</formula>
    </cfRule>
    <cfRule type="cellIs" dxfId="502" priority="182" operator="between">
      <formula>0.75</formula>
      <formula>95.9999</formula>
    </cfRule>
    <cfRule type="cellIs" dxfId="501" priority="181" operator="between">
      <formula>0.96</formula>
      <formula>1</formula>
    </cfRule>
    <cfRule type="cellIs" dxfId="500" priority="183" operator="between">
      <formula>0.6</formula>
      <formula>74.9999%</formula>
    </cfRule>
  </conditionalFormatting>
  <conditionalFormatting sqref="E273">
    <cfRule type="cellIs" dxfId="499" priority="180" operator="between">
      <formula>0</formula>
      <formula>59.9999%</formula>
    </cfRule>
    <cfRule type="cellIs" dxfId="498" priority="179" operator="between">
      <formula>0.6</formula>
      <formula>74.9999%</formula>
    </cfRule>
    <cfRule type="cellIs" dxfId="497" priority="178" operator="between">
      <formula>0.75</formula>
      <formula>95.9999</formula>
    </cfRule>
    <cfRule type="cellIs" dxfId="496" priority="177" operator="between">
      <formula>0.96</formula>
      <formula>1</formula>
    </cfRule>
  </conditionalFormatting>
  <conditionalFormatting sqref="E276">
    <cfRule type="cellIs" dxfId="495" priority="176" operator="between">
      <formula>0</formula>
      <formula>59.9999%</formula>
    </cfRule>
    <cfRule type="cellIs" dxfId="494" priority="175" operator="between">
      <formula>0.6</formula>
      <formula>74.9999%</formula>
    </cfRule>
    <cfRule type="cellIs" dxfId="493" priority="174" operator="between">
      <formula>0.75</formula>
      <formula>95.9999</formula>
    </cfRule>
    <cfRule type="cellIs" dxfId="492" priority="173" operator="between">
      <formula>0.96</formula>
      <formula>1</formula>
    </cfRule>
  </conditionalFormatting>
  <conditionalFormatting sqref="E280">
    <cfRule type="cellIs" dxfId="491" priority="172" operator="between">
      <formula>0</formula>
      <formula>59.9999%</formula>
    </cfRule>
    <cfRule type="cellIs" dxfId="490" priority="171" operator="between">
      <formula>0.6</formula>
      <formula>74.9999%</formula>
    </cfRule>
    <cfRule type="cellIs" dxfId="489" priority="170" operator="between">
      <formula>0.75</formula>
      <formula>95.9999</formula>
    </cfRule>
    <cfRule type="cellIs" dxfId="488" priority="169" operator="between">
      <formula>0.96</formula>
      <formula>1</formula>
    </cfRule>
  </conditionalFormatting>
  <conditionalFormatting sqref="E293">
    <cfRule type="cellIs" dxfId="487" priority="129" operator="between">
      <formula>0.96</formula>
      <formula>1</formula>
    </cfRule>
    <cfRule type="cellIs" dxfId="486" priority="130" operator="between">
      <formula>0.75</formula>
      <formula>95.9999</formula>
    </cfRule>
    <cfRule type="cellIs" dxfId="485" priority="131" operator="between">
      <formula>0.6</formula>
      <formula>74.9999%</formula>
    </cfRule>
    <cfRule type="cellIs" dxfId="484" priority="132" operator="between">
      <formula>0</formula>
      <formula>59.9999%</formula>
    </cfRule>
  </conditionalFormatting>
  <conditionalFormatting sqref="E304">
    <cfRule type="cellIs" dxfId="483" priority="161" operator="between">
      <formula>0.96</formula>
      <formula>1</formula>
    </cfRule>
    <cfRule type="cellIs" dxfId="482" priority="162" operator="between">
      <formula>0.75</formula>
      <formula>95.9999</formula>
    </cfRule>
    <cfRule type="cellIs" dxfId="481" priority="163" operator="between">
      <formula>0.6</formula>
      <formula>74.9999%</formula>
    </cfRule>
    <cfRule type="cellIs" dxfId="480" priority="164" operator="between">
      <formula>0</formula>
      <formula>59.9999%</formula>
    </cfRule>
  </conditionalFormatting>
  <conditionalFormatting sqref="E313">
    <cfRule type="cellIs" dxfId="479" priority="159" operator="between">
      <formula>0.6</formula>
      <formula>74.9999%</formula>
    </cfRule>
    <cfRule type="cellIs" dxfId="478" priority="158" operator="between">
      <formula>0.75</formula>
      <formula>95.9999</formula>
    </cfRule>
    <cfRule type="cellIs" dxfId="477" priority="160" operator="between">
      <formula>0</formula>
      <formula>59.9999%</formula>
    </cfRule>
    <cfRule type="cellIs" dxfId="476" priority="157" operator="between">
      <formula>0.96</formula>
      <formula>1</formula>
    </cfRule>
  </conditionalFormatting>
  <conditionalFormatting sqref="E321">
    <cfRule type="cellIs" dxfId="475" priority="155" operator="between">
      <formula>0.6</formula>
      <formula>74.9999%</formula>
    </cfRule>
    <cfRule type="cellIs" dxfId="474" priority="154" operator="between">
      <formula>0.75</formula>
      <formula>95.9999</formula>
    </cfRule>
    <cfRule type="cellIs" dxfId="473" priority="153" operator="between">
      <formula>0.96</formula>
      <formula>1</formula>
    </cfRule>
    <cfRule type="cellIs" dxfId="472" priority="156" operator="between">
      <formula>0</formula>
      <formula>59.9999%</formula>
    </cfRule>
  </conditionalFormatting>
  <conditionalFormatting sqref="E326">
    <cfRule type="cellIs" dxfId="471" priority="152" operator="between">
      <formula>0</formula>
      <formula>59.9999%</formula>
    </cfRule>
    <cfRule type="cellIs" dxfId="470" priority="151" operator="between">
      <formula>0.6</formula>
      <formula>74.9999%</formula>
    </cfRule>
    <cfRule type="cellIs" dxfId="469" priority="150" operator="between">
      <formula>0.75</formula>
      <formula>95.9999</formula>
    </cfRule>
    <cfRule type="cellIs" dxfId="468" priority="149" operator="between">
      <formula>0.96</formula>
      <formula>1</formula>
    </cfRule>
  </conditionalFormatting>
  <conditionalFormatting sqref="E335">
    <cfRule type="cellIs" dxfId="467" priority="148" operator="between">
      <formula>0</formula>
      <formula>59.9999%</formula>
    </cfRule>
    <cfRule type="cellIs" dxfId="466" priority="147" operator="between">
      <formula>0.6</formula>
      <formula>74.9999%</formula>
    </cfRule>
    <cfRule type="cellIs" dxfId="465" priority="146" operator="between">
      <formula>0.75</formula>
      <formula>95.9999</formula>
    </cfRule>
    <cfRule type="cellIs" dxfId="464" priority="145" operator="between">
      <formula>0.96</formula>
      <formula>1</formula>
    </cfRule>
  </conditionalFormatting>
  <conditionalFormatting sqref="E345">
    <cfRule type="cellIs" dxfId="463" priority="124" operator="between">
      <formula>0</formula>
      <formula>59.9999%</formula>
    </cfRule>
    <cfRule type="cellIs" dxfId="462" priority="123" operator="between">
      <formula>0.6</formula>
      <formula>74.9999%</formula>
    </cfRule>
    <cfRule type="cellIs" dxfId="461" priority="122" operator="between">
      <formula>0.75</formula>
      <formula>95.9999</formula>
    </cfRule>
    <cfRule type="cellIs" dxfId="460" priority="121" operator="between">
      <formula>0.96</formula>
      <formula>1</formula>
    </cfRule>
  </conditionalFormatting>
  <conditionalFormatting sqref="E358">
    <cfRule type="cellIs" dxfId="459" priority="120" operator="between">
      <formula>0</formula>
      <formula>59.9999%</formula>
    </cfRule>
    <cfRule type="cellIs" dxfId="458" priority="117" operator="between">
      <formula>0.96</formula>
      <formula>1</formula>
    </cfRule>
    <cfRule type="cellIs" dxfId="457" priority="118" operator="between">
      <formula>0.75</formula>
      <formula>95.9999</formula>
    </cfRule>
    <cfRule type="cellIs" dxfId="456" priority="119" operator="between">
      <formula>0.6</formula>
      <formula>74.9999%</formula>
    </cfRule>
  </conditionalFormatting>
  <conditionalFormatting sqref="E373">
    <cfRule type="cellIs" dxfId="455" priority="115" operator="between">
      <formula>0.6</formula>
      <formula>74.9999%</formula>
    </cfRule>
    <cfRule type="cellIs" dxfId="454" priority="114" operator="between">
      <formula>0.75</formula>
      <formula>95.9999</formula>
    </cfRule>
    <cfRule type="cellIs" dxfId="453" priority="113" operator="between">
      <formula>0.96</formula>
      <formula>1</formula>
    </cfRule>
    <cfRule type="cellIs" dxfId="452" priority="116" operator="between">
      <formula>0</formula>
      <formula>59.9999%</formula>
    </cfRule>
  </conditionalFormatting>
  <conditionalFormatting sqref="E378">
    <cfRule type="cellIs" dxfId="451" priority="112" operator="between">
      <formula>0</formula>
      <formula>59.9999%</formula>
    </cfRule>
    <cfRule type="cellIs" dxfId="450" priority="111" operator="between">
      <formula>0.6</formula>
      <formula>74.9999%</formula>
    </cfRule>
    <cfRule type="cellIs" dxfId="449" priority="110" operator="between">
      <formula>0.75</formula>
      <formula>95.9999</formula>
    </cfRule>
    <cfRule type="cellIs" dxfId="448" priority="109" operator="between">
      <formula>0.96</formula>
      <formula>1</formula>
    </cfRule>
  </conditionalFormatting>
  <conditionalFormatting sqref="E383">
    <cfRule type="cellIs" dxfId="447" priority="108" operator="between">
      <formula>0</formula>
      <formula>59.9999%</formula>
    </cfRule>
    <cfRule type="cellIs" dxfId="446" priority="107" operator="between">
      <formula>0.6</formula>
      <formula>74.9999%</formula>
    </cfRule>
    <cfRule type="cellIs" dxfId="445" priority="106" operator="between">
      <formula>0.75</formula>
      <formula>95.9999</formula>
    </cfRule>
    <cfRule type="cellIs" dxfId="444" priority="105" operator="between">
      <formula>0.96</formula>
      <formula>1</formula>
    </cfRule>
  </conditionalFormatting>
  <conditionalFormatting sqref="E387">
    <cfRule type="cellIs" dxfId="443" priority="104" operator="between">
      <formula>0</formula>
      <formula>59.9999%</formula>
    </cfRule>
    <cfRule type="cellIs" dxfId="442" priority="103" operator="between">
      <formula>0.6</formula>
      <formula>74.9999%</formula>
    </cfRule>
    <cfRule type="cellIs" dxfId="441" priority="102" operator="between">
      <formula>0.75</formula>
      <formula>95.9999</formula>
    </cfRule>
    <cfRule type="cellIs" dxfId="440" priority="101" operator="between">
      <formula>0.96</formula>
      <formula>1</formula>
    </cfRule>
  </conditionalFormatting>
  <conditionalFormatting sqref="E396">
    <cfRule type="cellIs" dxfId="439" priority="100" operator="between">
      <formula>0</formula>
      <formula>59.9999%</formula>
    </cfRule>
    <cfRule type="cellIs" dxfId="438" priority="99" operator="between">
      <formula>0.6</formula>
      <formula>74.9999%</formula>
    </cfRule>
    <cfRule type="cellIs" dxfId="437" priority="98" operator="between">
      <formula>0.75</formula>
      <formula>95.9999</formula>
    </cfRule>
    <cfRule type="cellIs" dxfId="436" priority="97" operator="between">
      <formula>0.96</formula>
      <formula>1</formula>
    </cfRule>
  </conditionalFormatting>
  <conditionalFormatting sqref="E400">
    <cfRule type="cellIs" dxfId="435" priority="96" operator="between">
      <formula>0</formula>
      <formula>59.9999%</formula>
    </cfRule>
    <cfRule type="cellIs" dxfId="434" priority="95" operator="between">
      <formula>0.6</formula>
      <formula>74.9999%</formula>
    </cfRule>
    <cfRule type="cellIs" dxfId="433" priority="94" operator="between">
      <formula>0.75</formula>
      <formula>95.9999</formula>
    </cfRule>
    <cfRule type="cellIs" dxfId="432" priority="93" operator="between">
      <formula>0.96</formula>
      <formula>1</formula>
    </cfRule>
  </conditionalFormatting>
  <conditionalFormatting sqref="E407">
    <cfRule type="cellIs" dxfId="431" priority="92" operator="between">
      <formula>0</formula>
      <formula>59.9999%</formula>
    </cfRule>
    <cfRule type="cellIs" dxfId="430" priority="91" operator="between">
      <formula>0.6</formula>
      <formula>74.9999%</formula>
    </cfRule>
    <cfRule type="cellIs" dxfId="429" priority="90" operator="between">
      <formula>0.75</formula>
      <formula>95.9999</formula>
    </cfRule>
    <cfRule type="cellIs" dxfId="428" priority="89" operator="between">
      <formula>0.96</formula>
      <formula>1</formula>
    </cfRule>
  </conditionalFormatting>
  <conditionalFormatting sqref="E418">
    <cfRule type="cellIs" dxfId="427" priority="88" operator="between">
      <formula>0</formula>
      <formula>59.9999%</formula>
    </cfRule>
    <cfRule type="cellIs" dxfId="426" priority="87" operator="between">
      <formula>0.6</formula>
      <formula>74.9999%</formula>
    </cfRule>
    <cfRule type="cellIs" dxfId="425" priority="86" operator="between">
      <formula>0.75</formula>
      <formula>95.9999</formula>
    </cfRule>
    <cfRule type="cellIs" dxfId="424" priority="85" operator="between">
      <formula>0.96</formula>
      <formula>1</formula>
    </cfRule>
  </conditionalFormatting>
  <conditionalFormatting sqref="E424">
    <cfRule type="cellIs" dxfId="423" priority="84" operator="between">
      <formula>0</formula>
      <formula>59.9999%</formula>
    </cfRule>
    <cfRule type="cellIs" dxfId="422" priority="82" operator="between">
      <formula>0.75</formula>
      <formula>95.9999</formula>
    </cfRule>
    <cfRule type="cellIs" dxfId="421" priority="81" operator="between">
      <formula>0.96</formula>
      <formula>1</formula>
    </cfRule>
    <cfRule type="cellIs" dxfId="420" priority="83" operator="between">
      <formula>0.6</formula>
      <formula>74.9999%</formula>
    </cfRule>
  </conditionalFormatting>
  <conditionalFormatting sqref="E435">
    <cfRule type="cellIs" dxfId="419" priority="80" operator="between">
      <formula>0</formula>
      <formula>59.9999%</formula>
    </cfRule>
    <cfRule type="cellIs" dxfId="418" priority="79" operator="between">
      <formula>0.6</formula>
      <formula>74.9999%</formula>
    </cfRule>
    <cfRule type="cellIs" dxfId="417" priority="78" operator="between">
      <formula>0.75</formula>
      <formula>95.9999</formula>
    </cfRule>
    <cfRule type="cellIs" dxfId="416" priority="77" operator="between">
      <formula>0.96</formula>
      <formula>1</formula>
    </cfRule>
  </conditionalFormatting>
  <conditionalFormatting sqref="E438">
    <cfRule type="cellIs" dxfId="415" priority="76" operator="between">
      <formula>0</formula>
      <formula>59.9999%</formula>
    </cfRule>
    <cfRule type="cellIs" dxfId="414" priority="75" operator="between">
      <formula>0.6</formula>
      <formula>74.9999%</formula>
    </cfRule>
    <cfRule type="cellIs" dxfId="413" priority="73" operator="between">
      <formula>0.96</formula>
      <formula>1</formula>
    </cfRule>
    <cfRule type="cellIs" dxfId="412" priority="74" operator="between">
      <formula>0.75</formula>
      <formula>95.9999</formula>
    </cfRule>
  </conditionalFormatting>
  <conditionalFormatting sqref="E449">
    <cfRule type="cellIs" dxfId="411" priority="72" operator="between">
      <formula>0</formula>
      <formula>59.9999%</formula>
    </cfRule>
    <cfRule type="cellIs" dxfId="410" priority="71" operator="between">
      <formula>0.6</formula>
      <formula>74.9999%</formula>
    </cfRule>
    <cfRule type="cellIs" dxfId="409" priority="70" operator="between">
      <formula>0.75</formula>
      <formula>95.9999</formula>
    </cfRule>
    <cfRule type="cellIs" dxfId="408" priority="69" operator="between">
      <formula>0.96</formula>
      <formula>1</formula>
    </cfRule>
  </conditionalFormatting>
  <conditionalFormatting sqref="E456">
    <cfRule type="cellIs" dxfId="407" priority="68" operator="between">
      <formula>0</formula>
      <formula>59.9999%</formula>
    </cfRule>
    <cfRule type="cellIs" dxfId="406" priority="67" operator="between">
      <formula>0.6</formula>
      <formula>74.9999%</formula>
    </cfRule>
    <cfRule type="cellIs" dxfId="405" priority="66" operator="between">
      <formula>0.75</formula>
      <formula>95.9999</formula>
    </cfRule>
    <cfRule type="cellIs" dxfId="404" priority="65" operator="between">
      <formula>0.96</formula>
      <formula>1</formula>
    </cfRule>
  </conditionalFormatting>
  <conditionalFormatting sqref="E464">
    <cfRule type="cellIs" dxfId="403" priority="64" operator="between">
      <formula>0</formula>
      <formula>59.9999%</formula>
    </cfRule>
    <cfRule type="cellIs" dxfId="402" priority="63" operator="between">
      <formula>0.6</formula>
      <formula>74.9999%</formula>
    </cfRule>
    <cfRule type="cellIs" dxfId="401" priority="62" operator="between">
      <formula>0.75</formula>
      <formula>95.9999</formula>
    </cfRule>
    <cfRule type="cellIs" dxfId="400" priority="61" operator="between">
      <formula>0.96</formula>
      <formula>1</formula>
    </cfRule>
  </conditionalFormatting>
  <conditionalFormatting sqref="E468">
    <cfRule type="cellIs" dxfId="399" priority="60" operator="between">
      <formula>0</formula>
      <formula>59.9999%</formula>
    </cfRule>
    <cfRule type="cellIs" dxfId="398" priority="59" operator="between">
      <formula>0.6</formula>
      <formula>74.9999%</formula>
    </cfRule>
    <cfRule type="cellIs" dxfId="397" priority="58" operator="between">
      <formula>0.75</formula>
      <formula>95.9999</formula>
    </cfRule>
    <cfRule type="cellIs" dxfId="396" priority="57" operator="between">
      <formula>0.96</formula>
      <formula>1</formula>
    </cfRule>
  </conditionalFormatting>
  <conditionalFormatting sqref="E484">
    <cfRule type="cellIs" dxfId="395" priority="56" operator="between">
      <formula>0</formula>
      <formula>59.9999%</formula>
    </cfRule>
    <cfRule type="cellIs" dxfId="394" priority="55" operator="between">
      <formula>0.6</formula>
      <formula>74.9999%</formula>
    </cfRule>
    <cfRule type="cellIs" dxfId="393" priority="54" operator="between">
      <formula>0.75</formula>
      <formula>95.9999</formula>
    </cfRule>
    <cfRule type="cellIs" dxfId="392" priority="53" operator="between">
      <formula>0.96</formula>
      <formula>1</formula>
    </cfRule>
  </conditionalFormatting>
  <conditionalFormatting sqref="E491">
    <cfRule type="cellIs" dxfId="391" priority="52" operator="between">
      <formula>0</formula>
      <formula>59.9999%</formula>
    </cfRule>
    <cfRule type="cellIs" dxfId="390" priority="51" operator="between">
      <formula>0.6</formula>
      <formula>74.9999%</formula>
    </cfRule>
    <cfRule type="cellIs" dxfId="389" priority="50" operator="between">
      <formula>0.75</formula>
      <formula>95.9999</formula>
    </cfRule>
    <cfRule type="cellIs" dxfId="388" priority="49" operator="between">
      <formula>0.96</formula>
      <formula>1</formula>
    </cfRule>
  </conditionalFormatting>
  <conditionalFormatting sqref="E499">
    <cfRule type="cellIs" dxfId="387" priority="48" operator="between">
      <formula>0</formula>
      <formula>59.9999%</formula>
    </cfRule>
    <cfRule type="cellIs" dxfId="386" priority="47" operator="between">
      <formula>0.6</formula>
      <formula>74.9999%</formula>
    </cfRule>
    <cfRule type="cellIs" dxfId="385" priority="46" operator="between">
      <formula>0.75</formula>
      <formula>95.9999</formula>
    </cfRule>
    <cfRule type="cellIs" dxfId="384" priority="45" operator="between">
      <formula>0.96</formula>
      <formula>1</formula>
    </cfRule>
  </conditionalFormatting>
  <conditionalFormatting sqref="E514">
    <cfRule type="cellIs" dxfId="383" priority="44" operator="between">
      <formula>0</formula>
      <formula>59.9999%</formula>
    </cfRule>
    <cfRule type="cellIs" dxfId="382" priority="43" operator="between">
      <formula>0.6</formula>
      <formula>74.9999%</formula>
    </cfRule>
    <cfRule type="cellIs" dxfId="381" priority="42" operator="between">
      <formula>0.75</formula>
      <formula>95.9999</formula>
    </cfRule>
    <cfRule type="cellIs" dxfId="380" priority="41" operator="between">
      <formula>0.96</formula>
      <formula>1</formula>
    </cfRule>
  </conditionalFormatting>
  <conditionalFormatting sqref="E518">
    <cfRule type="cellIs" dxfId="379" priority="40" operator="between">
      <formula>0</formula>
      <formula>59.9999%</formula>
    </cfRule>
    <cfRule type="cellIs" dxfId="378" priority="39" operator="between">
      <formula>0.6</formula>
      <formula>74.9999%</formula>
    </cfRule>
    <cfRule type="cellIs" dxfId="377" priority="38" operator="between">
      <formula>0.75</formula>
      <formula>95.9999</formula>
    </cfRule>
    <cfRule type="cellIs" dxfId="376" priority="37" operator="between">
      <formula>0.96</formula>
      <formula>1</formula>
    </cfRule>
  </conditionalFormatting>
  <conditionalFormatting sqref="E522">
    <cfRule type="cellIs" dxfId="375" priority="36" operator="between">
      <formula>0</formula>
      <formula>59.9999%</formula>
    </cfRule>
    <cfRule type="cellIs" dxfId="374" priority="34" operator="between">
      <formula>0.75</formula>
      <formula>95.9999</formula>
    </cfRule>
    <cfRule type="cellIs" dxfId="373" priority="33" operator="between">
      <formula>0.96</formula>
      <formula>1</formula>
    </cfRule>
    <cfRule type="cellIs" dxfId="372" priority="35" operator="between">
      <formula>0.6</formula>
      <formula>74.9999%</formula>
    </cfRule>
  </conditionalFormatting>
  <conditionalFormatting sqref="G41">
    <cfRule type="cellIs" dxfId="371" priority="32" operator="between">
      <formula>0</formula>
      <formula>59.9999%</formula>
    </cfRule>
    <cfRule type="cellIs" dxfId="370" priority="31" operator="between">
      <formula>0.6</formula>
      <formula>74.9999%</formula>
    </cfRule>
    <cfRule type="cellIs" dxfId="369" priority="30" operator="between">
      <formula>0.75</formula>
      <formula>95.9999</formula>
    </cfRule>
    <cfRule type="cellIs" dxfId="368" priority="29" operator="between">
      <formula>0.96</formula>
      <formula>1</formula>
    </cfRule>
  </conditionalFormatting>
  <conditionalFormatting sqref="G86">
    <cfRule type="cellIs" dxfId="367" priority="28" operator="between">
      <formula>0</formula>
      <formula>59.9999%</formula>
    </cfRule>
    <cfRule type="cellIs" dxfId="366" priority="27" operator="between">
      <formula>0.6</formula>
      <formula>74.9999%</formula>
    </cfRule>
    <cfRule type="cellIs" dxfId="365" priority="26" operator="between">
      <formula>0.75</formula>
      <formula>95.9999</formula>
    </cfRule>
    <cfRule type="cellIs" dxfId="364" priority="25" operator="between">
      <formula>0.96</formula>
      <formula>1</formula>
    </cfRule>
  </conditionalFormatting>
  <conditionalFormatting sqref="G131">
    <cfRule type="cellIs" dxfId="363" priority="24" operator="between">
      <formula>0</formula>
      <formula>59.9999%</formula>
    </cfRule>
    <cfRule type="cellIs" dxfId="362" priority="23" operator="between">
      <formula>0.6</formula>
      <formula>74.9999%</formula>
    </cfRule>
    <cfRule type="cellIs" dxfId="361" priority="22" operator="between">
      <formula>0.75</formula>
      <formula>95.9999</formula>
    </cfRule>
    <cfRule type="cellIs" dxfId="360" priority="21" operator="between">
      <formula>0.96</formula>
      <formula>1</formula>
    </cfRule>
  </conditionalFormatting>
  <conditionalFormatting sqref="G226">
    <cfRule type="cellIs" dxfId="359" priority="20" operator="between">
      <formula>0</formula>
      <formula>59.9999%</formula>
    </cfRule>
    <cfRule type="cellIs" dxfId="358" priority="19" operator="between">
      <formula>0.6</formula>
      <formula>74.9999%</formula>
    </cfRule>
    <cfRule type="cellIs" dxfId="357" priority="17" operator="between">
      <formula>0.96</formula>
      <formula>1</formula>
    </cfRule>
    <cfRule type="cellIs" dxfId="356" priority="18" operator="between">
      <formula>0.75</formula>
      <formula>95.9999</formula>
    </cfRule>
  </conditionalFormatting>
  <conditionalFormatting sqref="G424">
    <cfRule type="cellIs" dxfId="355" priority="16" operator="between">
      <formula>0</formula>
      <formula>59.9999%</formula>
    </cfRule>
    <cfRule type="cellIs" dxfId="354" priority="14" operator="between">
      <formula>0.75</formula>
      <formula>95.9999</formula>
    </cfRule>
    <cfRule type="cellIs" dxfId="353" priority="13" operator="between">
      <formula>0.96</formula>
      <formula>1</formula>
    </cfRule>
    <cfRule type="cellIs" dxfId="352" priority="15" operator="between">
      <formula>0.6</formula>
      <formula>74.9999%</formula>
    </cfRule>
  </conditionalFormatting>
  <conditionalFormatting sqref="G491">
    <cfRule type="cellIs" dxfId="351" priority="12" operator="between">
      <formula>0</formula>
      <formula>59.9999%</formula>
    </cfRule>
    <cfRule type="cellIs" dxfId="350" priority="11" operator="between">
      <formula>0.6</formula>
      <formula>74.9999%</formula>
    </cfRule>
    <cfRule type="cellIs" dxfId="349" priority="10" operator="between">
      <formula>0.75</formula>
      <formula>95.9999</formula>
    </cfRule>
    <cfRule type="cellIs" dxfId="348" priority="9" operator="between">
      <formula>0.96</formula>
      <formula>1</formula>
    </cfRule>
  </conditionalFormatting>
  <conditionalFormatting sqref="G522">
    <cfRule type="cellIs" dxfId="347" priority="7" operator="between">
      <formula>0.6</formula>
      <formula>74.9999%</formula>
    </cfRule>
    <cfRule type="cellIs" dxfId="346" priority="6" operator="between">
      <formula>0.75</formula>
      <formula>95.9999</formula>
    </cfRule>
    <cfRule type="cellIs" dxfId="345" priority="5" operator="between">
      <formula>0.96</formula>
      <formula>1</formula>
    </cfRule>
    <cfRule type="cellIs" dxfId="344" priority="8" operator="between">
      <formula>0</formula>
      <formula>59.9999%</formula>
    </cfRule>
  </conditionalFormatting>
  <dataValidations count="1">
    <dataValidation type="list" allowBlank="1" showInputMessage="1" showErrorMessage="1" sqref="C125:C130 C152:C156 C46:C56 C59:C62 C66:C70 C97:C101 C105:C114 C90:C94 C79:C85 C117:C122 C520:C521 C144:C149 C174:C176 C10:C12 C186:C190 C202:C204 C207:C210 C219:C225 C229:C241 C245:C250 C271:C272 C275 C279 C306:C312 C315:C320 C323:C325 C329:C334 C5:C6 C16:C23 C39:C40 C73:C76 C135:C138 C141 C160:C164 C167:C171 C179:C183 C193:C198 C214:C216 C253:C257 C261:C268 C282:C292 C295:C303 C337:C344 C347:C357 C361:C372 C375:C377 C380:C382 C385:C386 C389:C395 C398:C399 C402:C406 C410:C417 C420:C423 C428:C434 C437 C440:C448 C452:C455 C458:C463 C467 C470:C483 C486:C490 C494:C498 C502:C513 C516:C517 C27:C36" xr:uid="{00000000-0002-0000-0100-000000000000}">
      <formula1>"0,1,2,N"</formula1>
    </dataValidation>
  </dataValidations>
  <hyperlinks>
    <hyperlink ref="D1" location="Contenido!A7" display="ÍNDICE" xr:uid="{00000000-0004-0000-0100-000000000000}"/>
  </hyperlink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M322"/>
  <sheetViews>
    <sheetView showGridLines="0" workbookViewId="0">
      <selection activeCell="C10" sqref="C10"/>
    </sheetView>
  </sheetViews>
  <sheetFormatPr baseColWidth="10" defaultColWidth="10.83203125" defaultRowHeight="15.5"/>
  <cols>
    <col min="1" max="1" width="6.58203125" style="2" bestFit="1" customWidth="1"/>
    <col min="2" max="2" width="94.83203125" style="3" bestFit="1" customWidth="1"/>
    <col min="3" max="3" width="10.83203125" style="2"/>
    <col min="4" max="4" width="16.08203125" style="5" bestFit="1" customWidth="1"/>
    <col min="5" max="5" width="25.08203125" style="1" customWidth="1"/>
    <col min="6" max="6" width="1.83203125" style="1" customWidth="1"/>
    <col min="7" max="16384" width="10.83203125" style="1"/>
  </cols>
  <sheetData>
    <row r="1" spans="1:13" ht="30" customHeight="1">
      <c r="B1" s="4" t="s">
        <v>562</v>
      </c>
      <c r="D1" s="41" t="s">
        <v>32</v>
      </c>
    </row>
    <row r="2" spans="1:13" ht="21" customHeight="1">
      <c r="A2" s="2" t="s">
        <v>55</v>
      </c>
      <c r="B2" s="4" t="s">
        <v>55</v>
      </c>
    </row>
    <row r="3" spans="1:13" ht="22" customHeight="1">
      <c r="A3" s="42">
        <v>4</v>
      </c>
      <c r="B3" s="43" t="s">
        <v>52</v>
      </c>
    </row>
    <row r="4" spans="1:13" ht="30" customHeight="1">
      <c r="A4" s="45" t="s">
        <v>4</v>
      </c>
      <c r="B4" s="44" t="s">
        <v>53</v>
      </c>
    </row>
    <row r="5" spans="1:13" ht="35.15" customHeight="1">
      <c r="A5" s="6">
        <v>1</v>
      </c>
      <c r="B5" s="7" t="s">
        <v>542</v>
      </c>
      <c r="C5" s="6"/>
      <c r="D5" s="8" t="str">
        <f>+IF(C5="","",+IF(C5=0,"No Cumple",+IF(C5=1,"Cumple Parcial",+IF(C5=2,"Cumple Completo",+IF(C5="N","NA")))))</f>
        <v/>
      </c>
      <c r="E5" s="39"/>
    </row>
    <row r="6" spans="1:13" ht="30" customHeight="1">
      <c r="A6" s="6">
        <f>1+A5</f>
        <v>2</v>
      </c>
      <c r="B6" s="7" t="s">
        <v>540</v>
      </c>
      <c r="C6" s="6"/>
      <c r="D6" s="8" t="str">
        <f t="shared" ref="D6" si="0">+IF(C6="","",+IF(C6=0,"No Cumple",+IF(C6=1,"Cumple Parcial",+IF(C6=2,"Cumple Completo",+IF(C6="N","NA")))))</f>
        <v/>
      </c>
      <c r="E6" s="39"/>
    </row>
    <row r="7" spans="1:13" ht="30" customHeight="1" thickBot="1">
      <c r="A7" s="12"/>
      <c r="B7" s="13"/>
      <c r="C7" s="16">
        <f>SUM(C5:C6)</f>
        <v>0</v>
      </c>
      <c r="D7" s="16">
        <f>+COUNT(C5:C6)*2</f>
        <v>0</v>
      </c>
      <c r="E7" s="40" t="str">
        <f>+IF(C5="","",C7/D7)</f>
        <v/>
      </c>
      <c r="G7"/>
      <c r="H7"/>
      <c r="I7"/>
      <c r="J7"/>
      <c r="K7"/>
      <c r="L7"/>
      <c r="M7"/>
    </row>
    <row r="8" spans="1:13" ht="30" customHeight="1">
      <c r="A8"/>
      <c r="B8"/>
      <c r="C8"/>
      <c r="D8"/>
      <c r="E8"/>
      <c r="G8"/>
      <c r="H8"/>
      <c r="I8"/>
      <c r="J8"/>
      <c r="K8"/>
      <c r="L8"/>
      <c r="M8"/>
    </row>
    <row r="9" spans="1:13" ht="30" customHeight="1">
      <c r="A9" s="45" t="s">
        <v>0</v>
      </c>
      <c r="B9" s="44" t="s">
        <v>54</v>
      </c>
      <c r="G9"/>
      <c r="H9"/>
      <c r="I9"/>
      <c r="J9"/>
      <c r="K9"/>
      <c r="L9"/>
      <c r="M9"/>
    </row>
    <row r="10" spans="1:13" ht="30" customHeight="1">
      <c r="A10" s="6">
        <f>1+A6</f>
        <v>3</v>
      </c>
      <c r="B10" s="7" t="s">
        <v>543</v>
      </c>
      <c r="C10" s="6"/>
      <c r="D10" s="8" t="str">
        <f t="shared" ref="D10:D12" si="1">+IF(C10="","",+IF(C10=0,"No Cumple",+IF(C10=1,"Cumple Parcial",+IF(C10=2,"Cumple Completo",+IF(C10="N","NA")))))</f>
        <v/>
      </c>
      <c r="E10" s="39"/>
      <c r="G10"/>
      <c r="H10"/>
      <c r="I10"/>
      <c r="J10"/>
      <c r="K10"/>
      <c r="L10"/>
      <c r="M10"/>
    </row>
    <row r="11" spans="1:13" ht="30" customHeight="1">
      <c r="A11" s="6">
        <f>1+A10</f>
        <v>4</v>
      </c>
      <c r="B11" s="7" t="s">
        <v>544</v>
      </c>
      <c r="C11" s="6"/>
      <c r="D11" s="8" t="str">
        <f t="shared" si="1"/>
        <v/>
      </c>
      <c r="E11" s="39"/>
      <c r="G11"/>
      <c r="H11"/>
      <c r="I11"/>
      <c r="J11"/>
      <c r="K11"/>
      <c r="L11"/>
      <c r="M11"/>
    </row>
    <row r="12" spans="1:13" ht="33" customHeight="1">
      <c r="A12" s="6">
        <f>1+A11</f>
        <v>5</v>
      </c>
      <c r="B12" s="7" t="s">
        <v>545</v>
      </c>
      <c r="C12" s="6"/>
      <c r="D12" s="8" t="str">
        <f t="shared" si="1"/>
        <v/>
      </c>
      <c r="E12" s="39"/>
      <c r="G12"/>
      <c r="H12"/>
      <c r="I12"/>
      <c r="J12"/>
      <c r="K12"/>
      <c r="L12"/>
      <c r="M12"/>
    </row>
    <row r="13" spans="1:13" ht="25" customHeight="1" thickBot="1">
      <c r="A13" s="14"/>
      <c r="B13" s="15"/>
      <c r="C13" s="16">
        <f>SUM(C10:C12)</f>
        <v>0</v>
      </c>
      <c r="D13" s="16">
        <f>+COUNT(C10:C12)*2</f>
        <v>0</v>
      </c>
      <c r="E13" s="40" t="str">
        <f>+IF(C10="","",C13/D13)</f>
        <v/>
      </c>
      <c r="G13"/>
      <c r="H13"/>
      <c r="I13"/>
      <c r="J13"/>
      <c r="K13"/>
      <c r="L13"/>
      <c r="M13"/>
    </row>
    <row r="14" spans="1:13" ht="25" customHeight="1">
      <c r="A14"/>
      <c r="B14"/>
      <c r="C14"/>
      <c r="D14"/>
      <c r="E14"/>
      <c r="G14"/>
      <c r="H14"/>
      <c r="I14"/>
      <c r="J14"/>
      <c r="K14"/>
      <c r="L14"/>
      <c r="M14"/>
    </row>
    <row r="15" spans="1:13" ht="29.15" customHeight="1">
      <c r="A15" s="45" t="s">
        <v>19</v>
      </c>
      <c r="B15" s="44" t="s">
        <v>546</v>
      </c>
      <c r="G15"/>
      <c r="H15"/>
      <c r="I15"/>
      <c r="J15"/>
      <c r="K15"/>
      <c r="L15"/>
      <c r="M15"/>
    </row>
    <row r="16" spans="1:13" ht="28" customHeight="1">
      <c r="A16" s="6">
        <f>1+A12</f>
        <v>6</v>
      </c>
      <c r="B16" s="7" t="s">
        <v>547</v>
      </c>
      <c r="C16" s="6"/>
      <c r="D16" s="8" t="str">
        <f t="shared" ref="D16:D24" si="2">+IF(C16="","",+IF(C16=0,"No Cumple",+IF(C16=1,"Cumple Parcial",+IF(C16=2,"Cumple Completo",+IF(C16="N","NA")))))</f>
        <v/>
      </c>
      <c r="E16" s="39"/>
      <c r="G16"/>
      <c r="H16"/>
      <c r="I16"/>
      <c r="J16"/>
      <c r="K16"/>
      <c r="L16"/>
      <c r="M16"/>
    </row>
    <row r="17" spans="1:13" ht="28" customHeight="1">
      <c r="A17" s="6">
        <f>1+A16</f>
        <v>7</v>
      </c>
      <c r="B17" s="7" t="s">
        <v>61</v>
      </c>
      <c r="C17" s="6"/>
      <c r="D17" s="8" t="str">
        <f t="shared" si="2"/>
        <v/>
      </c>
      <c r="E17" s="39"/>
      <c r="G17"/>
      <c r="H17"/>
      <c r="I17"/>
      <c r="J17"/>
      <c r="K17"/>
      <c r="L17"/>
      <c r="M17"/>
    </row>
    <row r="18" spans="1:13" ht="28" customHeight="1">
      <c r="A18" s="6">
        <f t="shared" ref="A18:A24" si="3">1+A17</f>
        <v>8</v>
      </c>
      <c r="B18" s="36" t="s">
        <v>548</v>
      </c>
      <c r="C18" s="6"/>
      <c r="D18" s="8" t="str">
        <f t="shared" si="2"/>
        <v/>
      </c>
      <c r="E18" s="39"/>
      <c r="G18"/>
      <c r="H18"/>
      <c r="I18"/>
      <c r="J18"/>
      <c r="K18"/>
      <c r="L18"/>
      <c r="M18"/>
    </row>
    <row r="19" spans="1:13" ht="28" customHeight="1">
      <c r="A19" s="6">
        <f t="shared" si="3"/>
        <v>9</v>
      </c>
      <c r="B19" s="36" t="s">
        <v>549</v>
      </c>
      <c r="C19" s="6"/>
      <c r="D19" s="8" t="str">
        <f t="shared" si="2"/>
        <v/>
      </c>
      <c r="E19" s="39"/>
      <c r="G19"/>
      <c r="H19"/>
      <c r="I19"/>
      <c r="J19"/>
      <c r="K19"/>
      <c r="L19"/>
      <c r="M19"/>
    </row>
    <row r="20" spans="1:13" ht="28" customHeight="1">
      <c r="A20" s="6">
        <f t="shared" si="3"/>
        <v>10</v>
      </c>
      <c r="B20" s="36" t="s">
        <v>550</v>
      </c>
      <c r="C20" s="6"/>
      <c r="D20" s="8" t="str">
        <f t="shared" si="2"/>
        <v/>
      </c>
      <c r="E20" s="39"/>
      <c r="G20"/>
      <c r="H20"/>
      <c r="I20"/>
      <c r="J20"/>
      <c r="K20"/>
      <c r="L20"/>
      <c r="M20"/>
    </row>
    <row r="21" spans="1:13" ht="28" customHeight="1">
      <c r="A21" s="6">
        <f t="shared" si="3"/>
        <v>11</v>
      </c>
      <c r="B21" s="36" t="s">
        <v>551</v>
      </c>
      <c r="C21" s="6"/>
      <c r="D21" s="8" t="str">
        <f t="shared" si="2"/>
        <v/>
      </c>
      <c r="E21" s="39"/>
      <c r="G21"/>
      <c r="H21"/>
      <c r="I21"/>
      <c r="J21"/>
      <c r="K21"/>
      <c r="L21"/>
      <c r="M21"/>
    </row>
    <row r="22" spans="1:13" ht="28" customHeight="1">
      <c r="A22" s="6">
        <f t="shared" si="3"/>
        <v>12</v>
      </c>
      <c r="B22" s="36" t="s">
        <v>552</v>
      </c>
      <c r="C22" s="6"/>
      <c r="D22" s="8" t="str">
        <f t="shared" si="2"/>
        <v/>
      </c>
      <c r="E22" s="39"/>
      <c r="G22"/>
      <c r="H22"/>
      <c r="I22"/>
      <c r="J22"/>
      <c r="K22"/>
      <c r="L22"/>
      <c r="M22"/>
    </row>
    <row r="23" spans="1:13" ht="34" customHeight="1">
      <c r="A23" s="6">
        <f t="shared" si="3"/>
        <v>13</v>
      </c>
      <c r="B23" s="7" t="s">
        <v>554</v>
      </c>
      <c r="C23" s="6"/>
      <c r="D23" s="8" t="str">
        <f t="shared" si="2"/>
        <v/>
      </c>
      <c r="E23" s="39"/>
      <c r="G23"/>
      <c r="H23"/>
      <c r="I23"/>
      <c r="J23"/>
      <c r="K23"/>
      <c r="L23"/>
      <c r="M23"/>
    </row>
    <row r="24" spans="1:13" ht="28" customHeight="1">
      <c r="A24" s="6">
        <f t="shared" si="3"/>
        <v>14</v>
      </c>
      <c r="B24" s="7" t="s">
        <v>553</v>
      </c>
      <c r="C24" s="6"/>
      <c r="D24" s="8" t="str">
        <f t="shared" si="2"/>
        <v/>
      </c>
      <c r="E24" s="39"/>
      <c r="G24"/>
      <c r="H24"/>
      <c r="I24"/>
      <c r="J24"/>
      <c r="K24"/>
      <c r="L24"/>
      <c r="M24"/>
    </row>
    <row r="25" spans="1:13" ht="28" customHeight="1" thickBot="1">
      <c r="A25" s="14"/>
      <c r="B25" s="15"/>
      <c r="C25" s="16">
        <f>SUM(C16:C24)</f>
        <v>0</v>
      </c>
      <c r="D25" s="16">
        <f>+COUNT(C16:C24)*2</f>
        <v>0</v>
      </c>
      <c r="E25" s="40" t="str">
        <f>+IF(C16="","",C25/D25)</f>
        <v/>
      </c>
      <c r="G25"/>
      <c r="H25"/>
      <c r="I25"/>
      <c r="J25"/>
      <c r="K25"/>
      <c r="L25"/>
      <c r="M25"/>
    </row>
    <row r="26" spans="1:13" ht="6" customHeight="1">
      <c r="A26"/>
      <c r="B26"/>
      <c r="C26"/>
      <c r="D26"/>
      <c r="E26"/>
    </row>
    <row r="27" spans="1:13" ht="25" customHeight="1">
      <c r="A27" s="45" t="s">
        <v>22</v>
      </c>
      <c r="B27" s="44" t="s">
        <v>64</v>
      </c>
    </row>
    <row r="28" spans="1:13" ht="31">
      <c r="A28" s="6">
        <f>1+A24</f>
        <v>15</v>
      </c>
      <c r="B28" s="7" t="s">
        <v>555</v>
      </c>
      <c r="C28" s="6"/>
      <c r="D28" s="8" t="str">
        <f t="shared" ref="D28:D36" si="4">+IF(C28="","",+IF(C28=0,"No Cumple",+IF(C28=1,"Cumple Parcial",+IF(C28=2,"Cumple Completo",+IF(C28="N","NA")))))</f>
        <v/>
      </c>
      <c r="E28" s="39"/>
    </row>
    <row r="29" spans="1:13" ht="28" customHeight="1">
      <c r="A29" s="6">
        <f>1+A28</f>
        <v>16</v>
      </c>
      <c r="B29" s="7" t="s">
        <v>67</v>
      </c>
      <c r="C29" s="6"/>
      <c r="D29" s="8" t="str">
        <f t="shared" si="4"/>
        <v/>
      </c>
      <c r="E29" s="39"/>
    </row>
    <row r="30" spans="1:13" ht="28" customHeight="1">
      <c r="A30" s="6">
        <f>1+A29</f>
        <v>17</v>
      </c>
      <c r="B30" s="7" t="s">
        <v>68</v>
      </c>
      <c r="C30" s="6"/>
      <c r="D30" s="8" t="str">
        <f t="shared" si="4"/>
        <v/>
      </c>
      <c r="E30" s="39"/>
    </row>
    <row r="31" spans="1:13" ht="28" customHeight="1">
      <c r="A31" s="6">
        <f t="shared" ref="A31:A36" si="5">1+A30</f>
        <v>18</v>
      </c>
      <c r="B31" s="7" t="s">
        <v>69</v>
      </c>
      <c r="C31" s="6"/>
      <c r="D31" s="8" t="str">
        <f t="shared" si="4"/>
        <v/>
      </c>
      <c r="E31" s="39"/>
    </row>
    <row r="32" spans="1:13" ht="28" customHeight="1">
      <c r="A32" s="6">
        <f t="shared" si="5"/>
        <v>19</v>
      </c>
      <c r="B32" s="7" t="s">
        <v>72</v>
      </c>
      <c r="C32" s="6"/>
      <c r="D32" s="8" t="str">
        <f t="shared" si="4"/>
        <v/>
      </c>
      <c r="E32" s="39"/>
    </row>
    <row r="33" spans="1:7" ht="28" customHeight="1">
      <c r="A33" s="6">
        <f t="shared" si="5"/>
        <v>20</v>
      </c>
      <c r="B33" s="17" t="s">
        <v>70</v>
      </c>
      <c r="C33" s="6"/>
      <c r="D33" s="8" t="str">
        <f t="shared" si="4"/>
        <v/>
      </c>
      <c r="E33" s="39"/>
    </row>
    <row r="34" spans="1:7" ht="28" customHeight="1">
      <c r="A34" s="6">
        <f t="shared" si="5"/>
        <v>21</v>
      </c>
      <c r="B34" s="17" t="s">
        <v>71</v>
      </c>
      <c r="C34" s="6"/>
      <c r="D34" s="8" t="str">
        <f t="shared" si="4"/>
        <v/>
      </c>
      <c r="E34" s="39"/>
    </row>
    <row r="35" spans="1:7" ht="31">
      <c r="A35" s="6">
        <f t="shared" si="5"/>
        <v>22</v>
      </c>
      <c r="B35" s="17" t="s">
        <v>557</v>
      </c>
      <c r="C35" s="6"/>
      <c r="D35" s="8" t="str">
        <f t="shared" si="4"/>
        <v/>
      </c>
      <c r="E35" s="39"/>
    </row>
    <row r="36" spans="1:7" ht="25" customHeight="1">
      <c r="A36" s="6">
        <f t="shared" si="5"/>
        <v>23</v>
      </c>
      <c r="B36" s="17" t="s">
        <v>556</v>
      </c>
      <c r="C36" s="6"/>
      <c r="D36" s="8" t="str">
        <f t="shared" si="4"/>
        <v/>
      </c>
      <c r="E36" s="39"/>
    </row>
    <row r="37" spans="1:7" ht="28" customHeight="1" thickBot="1">
      <c r="A37" s="12"/>
      <c r="B37" s="13"/>
      <c r="C37" s="16">
        <f>SUM(C28:C36)</f>
        <v>0</v>
      </c>
      <c r="D37" s="16">
        <f>+COUNT(C28:C36)*2</f>
        <v>0</v>
      </c>
      <c r="E37" s="40" t="str">
        <f>+IF(C28="","",C37/D37)</f>
        <v/>
      </c>
      <c r="G37" s="29" t="str">
        <f>+IF(E7="","",+AVERAGE(E7,E13,E25,E37))</f>
        <v/>
      </c>
    </row>
    <row r="38" spans="1:7" ht="6" customHeight="1">
      <c r="A38"/>
      <c r="B38"/>
      <c r="C38"/>
      <c r="D38"/>
      <c r="E38"/>
    </row>
    <row r="39" spans="1:7" ht="25" customHeight="1">
      <c r="A39" s="42" t="s">
        <v>5</v>
      </c>
      <c r="B39" s="43" t="s">
        <v>82</v>
      </c>
    </row>
    <row r="40" spans="1:7" ht="25" customHeight="1">
      <c r="A40" s="45" t="s">
        <v>83</v>
      </c>
      <c r="B40" s="44" t="s">
        <v>10</v>
      </c>
    </row>
    <row r="41" spans="1:7" ht="28" customHeight="1">
      <c r="A41" s="6">
        <f>1+A36</f>
        <v>24</v>
      </c>
      <c r="B41" s="7" t="s">
        <v>558</v>
      </c>
      <c r="C41" s="6"/>
      <c r="D41" s="8" t="str">
        <f t="shared" ref="D41:D50" si="6">+IF(C41="","",+IF(C41=0,"No Cumple",+IF(C41=1,"Cumple Parcial",+IF(C41=2,"Cumple Completo",+IF(C41="N","NA")))))</f>
        <v/>
      </c>
      <c r="E41" s="39"/>
    </row>
    <row r="42" spans="1:7" ht="28" customHeight="1">
      <c r="A42" s="6">
        <f>1+A41</f>
        <v>25</v>
      </c>
      <c r="B42" s="7" t="s">
        <v>559</v>
      </c>
      <c r="C42" s="19"/>
      <c r="D42" s="8" t="str">
        <f t="shared" si="6"/>
        <v/>
      </c>
      <c r="E42" s="39"/>
    </row>
    <row r="43" spans="1:7" ht="37" customHeight="1">
      <c r="A43" s="6">
        <f t="shared" ref="A43:A50" si="7">1+A42</f>
        <v>26</v>
      </c>
      <c r="B43" s="7" t="s">
        <v>560</v>
      </c>
      <c r="C43" s="19"/>
      <c r="D43" s="8" t="str">
        <f t="shared" si="6"/>
        <v/>
      </c>
      <c r="E43" s="39"/>
    </row>
    <row r="44" spans="1:7" ht="28" customHeight="1">
      <c r="A44" s="6">
        <f t="shared" si="7"/>
        <v>27</v>
      </c>
      <c r="B44" s="7" t="s">
        <v>561</v>
      </c>
      <c r="C44" s="19"/>
      <c r="D44" s="8" t="str">
        <f t="shared" si="6"/>
        <v/>
      </c>
      <c r="E44" s="39"/>
    </row>
    <row r="45" spans="1:7" ht="28" customHeight="1">
      <c r="A45" s="6">
        <f t="shared" si="7"/>
        <v>28</v>
      </c>
      <c r="B45" s="7" t="s">
        <v>566</v>
      </c>
      <c r="C45" s="19"/>
      <c r="D45" s="8" t="str">
        <f t="shared" si="6"/>
        <v/>
      </c>
      <c r="E45" s="39"/>
    </row>
    <row r="46" spans="1:7" ht="28" customHeight="1">
      <c r="A46" s="6">
        <f t="shared" si="7"/>
        <v>29</v>
      </c>
      <c r="B46" s="7" t="s">
        <v>567</v>
      </c>
      <c r="C46" s="19"/>
      <c r="D46" s="8" t="str">
        <f t="shared" si="6"/>
        <v/>
      </c>
      <c r="E46" s="39"/>
    </row>
    <row r="47" spans="1:7" ht="28" customHeight="1">
      <c r="A47" s="6">
        <f t="shared" si="7"/>
        <v>30</v>
      </c>
      <c r="B47" s="7" t="s">
        <v>568</v>
      </c>
      <c r="C47" s="19"/>
      <c r="D47" s="8" t="str">
        <f t="shared" si="6"/>
        <v/>
      </c>
      <c r="E47" s="39"/>
    </row>
    <row r="48" spans="1:7" ht="26.15" customHeight="1">
      <c r="A48" s="6">
        <f t="shared" si="7"/>
        <v>31</v>
      </c>
      <c r="B48" s="7" t="s">
        <v>569</v>
      </c>
      <c r="C48" s="19"/>
      <c r="D48" s="8" t="str">
        <f t="shared" si="6"/>
        <v/>
      </c>
      <c r="E48" s="39"/>
    </row>
    <row r="49" spans="1:5" ht="26.15" customHeight="1">
      <c r="A49" s="6">
        <f t="shared" si="7"/>
        <v>32</v>
      </c>
      <c r="B49" s="7" t="s">
        <v>570</v>
      </c>
      <c r="C49" s="19"/>
      <c r="D49" s="8" t="str">
        <f t="shared" si="6"/>
        <v/>
      </c>
      <c r="E49" s="39"/>
    </row>
    <row r="50" spans="1:5" ht="31">
      <c r="A50" s="6">
        <f t="shared" si="7"/>
        <v>33</v>
      </c>
      <c r="B50" s="7" t="s">
        <v>571</v>
      </c>
      <c r="C50" s="6"/>
      <c r="D50" s="8" t="str">
        <f t="shared" si="6"/>
        <v/>
      </c>
      <c r="E50" s="39"/>
    </row>
    <row r="51" spans="1:5" ht="28" customHeight="1" thickBot="1">
      <c r="A51" s="14"/>
      <c r="B51" s="15"/>
      <c r="C51" s="16">
        <f>SUM(C41:C50)</f>
        <v>0</v>
      </c>
      <c r="D51" s="16">
        <f>+COUNT(C41:C50)*2</f>
        <v>0</v>
      </c>
      <c r="E51" s="11" t="str">
        <f>+IF(C42="","",C51/D51)</f>
        <v/>
      </c>
    </row>
    <row r="52" spans="1:5" ht="26.15" customHeight="1">
      <c r="A52" s="45" t="s">
        <v>6</v>
      </c>
      <c r="B52" s="44" t="s">
        <v>574</v>
      </c>
    </row>
    <row r="53" spans="1:5" ht="31">
      <c r="A53" s="6">
        <f>1+A50</f>
        <v>34</v>
      </c>
      <c r="B53" s="7" t="s">
        <v>575</v>
      </c>
      <c r="C53" s="6"/>
      <c r="D53" s="8" t="str">
        <f t="shared" ref="D53:D58" si="8">+IF(C53="","",+IF(C53=0,"No Cumple",+IF(C53=1,"Cumple Parcial",+IF(C53=2,"Cumple Completo",+IF(C53="N","NA")))))</f>
        <v/>
      </c>
      <c r="E53" s="39"/>
    </row>
    <row r="54" spans="1:5" ht="31">
      <c r="A54" s="6">
        <f>1+A53</f>
        <v>35</v>
      </c>
      <c r="B54" s="7" t="s">
        <v>576</v>
      </c>
      <c r="C54" s="6"/>
      <c r="D54" s="8" t="str">
        <f t="shared" si="8"/>
        <v/>
      </c>
      <c r="E54" s="39"/>
    </row>
    <row r="55" spans="1:5" ht="25" customHeight="1">
      <c r="A55" s="6">
        <f t="shared" ref="A55:A58" si="9">1+A54</f>
        <v>36</v>
      </c>
      <c r="B55" s="7" t="s">
        <v>577</v>
      </c>
      <c r="C55" s="6"/>
      <c r="D55" s="8" t="str">
        <f t="shared" si="8"/>
        <v/>
      </c>
      <c r="E55" s="39"/>
    </row>
    <row r="56" spans="1:5" ht="31">
      <c r="A56" s="6">
        <f t="shared" si="9"/>
        <v>37</v>
      </c>
      <c r="B56" s="7" t="s">
        <v>578</v>
      </c>
      <c r="C56" s="6"/>
      <c r="D56" s="8" t="str">
        <f t="shared" si="8"/>
        <v/>
      </c>
      <c r="E56" s="39"/>
    </row>
    <row r="57" spans="1:5" ht="28" customHeight="1">
      <c r="A57" s="6">
        <f t="shared" si="9"/>
        <v>38</v>
      </c>
      <c r="B57" s="7" t="s">
        <v>579</v>
      </c>
      <c r="C57" s="6"/>
      <c r="D57" s="8" t="str">
        <f t="shared" si="8"/>
        <v/>
      </c>
      <c r="E57" s="39"/>
    </row>
    <row r="58" spans="1:5" ht="28" customHeight="1">
      <c r="A58" s="6">
        <f t="shared" si="9"/>
        <v>39</v>
      </c>
      <c r="B58" s="7" t="s">
        <v>580</v>
      </c>
      <c r="C58" s="6"/>
      <c r="D58" s="8" t="str">
        <f t="shared" si="8"/>
        <v/>
      </c>
      <c r="E58" s="39"/>
    </row>
    <row r="59" spans="1:5" ht="26.15" customHeight="1">
      <c r="A59" s="6">
        <f>1+A58</f>
        <v>40</v>
      </c>
      <c r="B59" s="7" t="s">
        <v>108</v>
      </c>
      <c r="C59" s="6"/>
      <c r="D59" s="8" t="str">
        <f t="shared" ref="D59:D62" si="10">+IF(C59="","",+IF(C59=0,"No Cumple",+IF(C59=1,"Cumple Parcial",+IF(C59=2,"Cumple Completo",+IF(C59="N","NA")))))</f>
        <v/>
      </c>
      <c r="E59" s="39"/>
    </row>
    <row r="60" spans="1:5" ht="26.15" customHeight="1">
      <c r="A60" s="6">
        <f>1+A59</f>
        <v>41</v>
      </c>
      <c r="B60" s="7" t="s">
        <v>109</v>
      </c>
      <c r="C60" s="6"/>
      <c r="D60" s="8" t="str">
        <f t="shared" si="10"/>
        <v/>
      </c>
      <c r="E60" s="39"/>
    </row>
    <row r="61" spans="1:5" ht="21" customHeight="1">
      <c r="A61" s="6">
        <f>1+A60</f>
        <v>42</v>
      </c>
      <c r="B61" s="7" t="s">
        <v>110</v>
      </c>
      <c r="C61" s="6"/>
      <c r="D61" s="8" t="str">
        <f t="shared" si="10"/>
        <v/>
      </c>
      <c r="E61" s="39"/>
    </row>
    <row r="62" spans="1:5" ht="21" customHeight="1">
      <c r="A62" s="6">
        <f t="shared" ref="A62" si="11">1+A61</f>
        <v>43</v>
      </c>
      <c r="B62" s="7" t="s">
        <v>111</v>
      </c>
      <c r="C62" s="6"/>
      <c r="D62" s="8" t="str">
        <f t="shared" si="10"/>
        <v/>
      </c>
      <c r="E62" s="39" t="s">
        <v>55</v>
      </c>
    </row>
    <row r="63" spans="1:5" ht="26.15" customHeight="1" thickBot="1">
      <c r="A63" s="14"/>
      <c r="B63" s="15"/>
      <c r="C63" s="16">
        <f>SUM(C53:C62)</f>
        <v>0</v>
      </c>
      <c r="D63" s="16">
        <f>+COUNT(C53:C62)*2</f>
        <v>0</v>
      </c>
      <c r="E63" s="11" t="str">
        <f>+IF(C53="","",C63/D63)</f>
        <v/>
      </c>
    </row>
    <row r="64" spans="1:5" ht="26.15" customHeight="1">
      <c r="A64" s="45" t="s">
        <v>8</v>
      </c>
      <c r="B64" s="44" t="s">
        <v>112</v>
      </c>
    </row>
    <row r="65" spans="1:7" ht="31">
      <c r="A65" s="6">
        <f>1+A62</f>
        <v>44</v>
      </c>
      <c r="B65" s="7" t="s">
        <v>113</v>
      </c>
      <c r="C65" s="6"/>
      <c r="D65" s="8" t="str">
        <f t="shared" ref="D65:D68" si="12">+IF(C65="","",+IF(C65=0,"No Cumple",+IF(C65=1,"Cumple Parcial",+IF(C65=2,"Cumple Completo",+IF(C65="N","NA")))))</f>
        <v/>
      </c>
      <c r="E65" s="39"/>
    </row>
    <row r="66" spans="1:7" ht="25" customHeight="1">
      <c r="A66" s="6">
        <f>1+A65</f>
        <v>45</v>
      </c>
      <c r="B66" s="7" t="s">
        <v>114</v>
      </c>
      <c r="C66" s="19"/>
      <c r="D66" s="8" t="str">
        <f t="shared" si="12"/>
        <v/>
      </c>
      <c r="E66" s="39" t="s">
        <v>55</v>
      </c>
    </row>
    <row r="67" spans="1:7" ht="28" customHeight="1">
      <c r="A67" s="6">
        <f t="shared" ref="A67:A68" si="13">1+A66</f>
        <v>46</v>
      </c>
      <c r="B67" s="7" t="s">
        <v>563</v>
      </c>
      <c r="C67" s="19"/>
      <c r="D67" s="8" t="str">
        <f t="shared" si="12"/>
        <v/>
      </c>
      <c r="E67" s="39"/>
    </row>
    <row r="68" spans="1:7" ht="30" customHeight="1">
      <c r="A68" s="6">
        <f t="shared" si="13"/>
        <v>47</v>
      </c>
      <c r="B68" s="7" t="s">
        <v>581</v>
      </c>
      <c r="C68" s="6"/>
      <c r="D68" s="8" t="str">
        <f t="shared" si="12"/>
        <v/>
      </c>
      <c r="E68" s="39"/>
    </row>
    <row r="69" spans="1:7" ht="30" customHeight="1" thickBot="1">
      <c r="A69" s="14"/>
      <c r="B69" s="15"/>
      <c r="C69" s="16">
        <f>SUM(C65:C68)</f>
        <v>0</v>
      </c>
      <c r="D69" s="16">
        <f>+COUNT(C65:C68)*2</f>
        <v>0</v>
      </c>
      <c r="E69" s="11" t="str">
        <f>+IF(C65="","",C69/D69)</f>
        <v/>
      </c>
      <c r="G69" s="29" t="str">
        <f>+IF(E51="","",+AVERAGE(E51,E63,E69))</f>
        <v/>
      </c>
    </row>
    <row r="70" spans="1:7" ht="6" customHeight="1">
      <c r="A70"/>
      <c r="B70"/>
      <c r="C70"/>
      <c r="D70"/>
      <c r="E70"/>
    </row>
    <row r="71" spans="1:7" ht="28" customHeight="1">
      <c r="A71" s="42">
        <v>6</v>
      </c>
      <c r="B71" s="43" t="s">
        <v>20</v>
      </c>
    </row>
    <row r="72" spans="1:7" ht="25" customHeight="1">
      <c r="A72" s="45" t="s">
        <v>11</v>
      </c>
      <c r="B72" s="44" t="s">
        <v>119</v>
      </c>
    </row>
    <row r="73" spans="1:7" ht="25" customHeight="1">
      <c r="A73" s="45" t="s">
        <v>120</v>
      </c>
      <c r="B73" s="44" t="s">
        <v>10</v>
      </c>
    </row>
    <row r="74" spans="1:7" ht="31">
      <c r="A74" s="6">
        <f>1+A68</f>
        <v>48</v>
      </c>
      <c r="B74" s="7" t="s">
        <v>582</v>
      </c>
      <c r="C74" s="6"/>
      <c r="D74" s="8" t="str">
        <f t="shared" ref="D74:D79" si="14">+IF(C74="","",+IF(C74=0,"No Cumple",+IF(C74=1,"Cumple Parcial",+IF(C74=2,"Cumple Completo",+IF(C74="N","NA")))))</f>
        <v/>
      </c>
      <c r="E74" s="39"/>
    </row>
    <row r="75" spans="1:7" ht="28" customHeight="1">
      <c r="A75" s="6">
        <f>1+A74</f>
        <v>49</v>
      </c>
      <c r="B75" s="38" t="s">
        <v>585</v>
      </c>
      <c r="C75" s="6"/>
      <c r="D75" s="8"/>
      <c r="E75" s="39"/>
    </row>
    <row r="76" spans="1:7" ht="28" customHeight="1">
      <c r="A76" s="6">
        <f>1+A75</f>
        <v>50</v>
      </c>
      <c r="B76" s="7" t="s">
        <v>583</v>
      </c>
      <c r="C76" s="6"/>
      <c r="D76" s="8" t="str">
        <f t="shared" si="14"/>
        <v/>
      </c>
      <c r="E76" s="39"/>
    </row>
    <row r="77" spans="1:7" ht="25" customHeight="1">
      <c r="A77" s="6">
        <f t="shared" ref="A77:A90" si="15">1+A76</f>
        <v>51</v>
      </c>
      <c r="B77" s="7" t="s">
        <v>584</v>
      </c>
      <c r="C77" s="6"/>
      <c r="D77" s="8" t="str">
        <f t="shared" si="14"/>
        <v/>
      </c>
      <c r="E77" s="39"/>
    </row>
    <row r="78" spans="1:7" ht="25" customHeight="1">
      <c r="A78" s="6">
        <f t="shared" si="15"/>
        <v>52</v>
      </c>
      <c r="B78" s="7" t="s">
        <v>586</v>
      </c>
      <c r="C78" s="6"/>
      <c r="D78" s="8" t="str">
        <f t="shared" si="14"/>
        <v/>
      </c>
      <c r="E78" s="39"/>
    </row>
    <row r="79" spans="1:7" ht="28" customHeight="1">
      <c r="A79" s="6">
        <f t="shared" si="15"/>
        <v>53</v>
      </c>
      <c r="B79" s="38" t="s">
        <v>587</v>
      </c>
      <c r="C79" s="6"/>
      <c r="D79" s="8" t="str">
        <f t="shared" si="14"/>
        <v/>
      </c>
      <c r="E79" s="39"/>
    </row>
    <row r="80" spans="1:7" ht="28" customHeight="1">
      <c r="A80" s="6">
        <f t="shared" si="15"/>
        <v>54</v>
      </c>
      <c r="B80" s="7" t="s">
        <v>588</v>
      </c>
      <c r="C80" s="6"/>
      <c r="D80" s="8" t="str">
        <f t="shared" ref="D80:D90" si="16">+IF(C80="","",+IF(C80=0,"No Cumple",+IF(C80=1,"Cumple Parcial",+IF(C80=2,"Cumple Completo",+IF(C80="N","NA")))))</f>
        <v/>
      </c>
      <c r="E80" s="46"/>
    </row>
    <row r="81" spans="1:5" ht="28" customHeight="1">
      <c r="A81" s="6">
        <f t="shared" si="15"/>
        <v>55</v>
      </c>
      <c r="B81" s="7" t="s">
        <v>589</v>
      </c>
      <c r="C81" s="6"/>
      <c r="D81" s="8" t="str">
        <f t="shared" si="16"/>
        <v/>
      </c>
      <c r="E81" s="46"/>
    </row>
    <row r="82" spans="1:5" ht="28" customHeight="1">
      <c r="A82" s="6">
        <f t="shared" si="15"/>
        <v>56</v>
      </c>
      <c r="B82" s="7" t="s">
        <v>590</v>
      </c>
      <c r="C82" s="6"/>
      <c r="D82" s="8" t="str">
        <f t="shared" si="16"/>
        <v/>
      </c>
      <c r="E82" s="46"/>
    </row>
    <row r="83" spans="1:5" ht="28" customHeight="1">
      <c r="A83" s="6">
        <f t="shared" si="15"/>
        <v>57</v>
      </c>
      <c r="B83" s="38" t="s">
        <v>591</v>
      </c>
      <c r="C83" s="6"/>
      <c r="D83" s="8" t="str">
        <f t="shared" si="16"/>
        <v/>
      </c>
      <c r="E83" s="46"/>
    </row>
    <row r="84" spans="1:5" ht="28" customHeight="1">
      <c r="A84" s="6">
        <f t="shared" si="15"/>
        <v>58</v>
      </c>
      <c r="B84" s="7" t="s">
        <v>592</v>
      </c>
      <c r="C84" s="6"/>
      <c r="D84" s="8" t="str">
        <f t="shared" si="16"/>
        <v/>
      </c>
      <c r="E84" s="46"/>
    </row>
    <row r="85" spans="1:5" ht="31">
      <c r="A85" s="6">
        <f t="shared" si="15"/>
        <v>59</v>
      </c>
      <c r="B85" s="7" t="s">
        <v>593</v>
      </c>
      <c r="C85" s="6"/>
      <c r="D85" s="8" t="str">
        <f t="shared" si="16"/>
        <v/>
      </c>
      <c r="E85" s="46"/>
    </row>
    <row r="86" spans="1:5" ht="28" customHeight="1">
      <c r="A86" s="6">
        <f t="shared" si="15"/>
        <v>60</v>
      </c>
      <c r="B86" s="7" t="s">
        <v>594</v>
      </c>
      <c r="C86" s="6"/>
      <c r="D86" s="8" t="str">
        <f t="shared" si="16"/>
        <v/>
      </c>
      <c r="E86" s="46"/>
    </row>
    <row r="87" spans="1:5" ht="31">
      <c r="A87" s="6">
        <f t="shared" si="15"/>
        <v>61</v>
      </c>
      <c r="B87" s="7" t="s">
        <v>595</v>
      </c>
      <c r="C87" s="6"/>
      <c r="D87" s="8" t="str">
        <f t="shared" si="16"/>
        <v/>
      </c>
      <c r="E87" s="46"/>
    </row>
    <row r="88" spans="1:5" ht="28" customHeight="1">
      <c r="A88" s="6">
        <f t="shared" si="15"/>
        <v>62</v>
      </c>
      <c r="B88" s="38" t="s">
        <v>596</v>
      </c>
      <c r="C88" s="6"/>
      <c r="D88" s="8" t="str">
        <f t="shared" si="16"/>
        <v/>
      </c>
      <c r="E88" s="46"/>
    </row>
    <row r="89" spans="1:5" ht="28" customHeight="1">
      <c r="A89" s="6">
        <f t="shared" si="15"/>
        <v>63</v>
      </c>
      <c r="B89" s="7" t="s">
        <v>597</v>
      </c>
      <c r="C89" s="6"/>
      <c r="D89" s="8" t="str">
        <f t="shared" si="16"/>
        <v/>
      </c>
      <c r="E89" s="46"/>
    </row>
    <row r="90" spans="1:5" ht="34" customHeight="1">
      <c r="A90" s="6">
        <f t="shared" si="15"/>
        <v>64</v>
      </c>
      <c r="B90" s="7" t="s">
        <v>598</v>
      </c>
      <c r="C90" s="6"/>
      <c r="D90" s="8" t="str">
        <f t="shared" si="16"/>
        <v/>
      </c>
      <c r="E90" s="46"/>
    </row>
    <row r="91" spans="1:5" ht="25" customHeight="1" thickBot="1">
      <c r="A91" s="14"/>
      <c r="B91" s="15"/>
      <c r="C91" s="16">
        <f>SUM(C74:C90)</f>
        <v>0</v>
      </c>
      <c r="D91" s="16">
        <f>+COUNT(C74:C90)*2</f>
        <v>0</v>
      </c>
      <c r="E91" s="11" t="str">
        <f>+IF(C74="","",C91/D91)</f>
        <v/>
      </c>
    </row>
    <row r="92" spans="1:5" ht="25" customHeight="1">
      <c r="A92" s="45" t="s">
        <v>127</v>
      </c>
      <c r="B92" s="44" t="s">
        <v>599</v>
      </c>
    </row>
    <row r="93" spans="1:5" ht="46.5">
      <c r="A93" s="6">
        <f>1+A90</f>
        <v>65</v>
      </c>
      <c r="B93" s="7" t="s">
        <v>600</v>
      </c>
      <c r="C93" s="6"/>
      <c r="D93" s="8" t="str">
        <f t="shared" ref="D93" si="17">+IF(C93="","",+IF(C93=0,"No Cumple",+IF(C93=1,"Cumple Parcial",+IF(C93=2,"Cumple Completo",+IF(C93="N","NA")))))</f>
        <v/>
      </c>
      <c r="E93" s="39"/>
    </row>
    <row r="94" spans="1:5" ht="31">
      <c r="A94" s="6">
        <f>1+A93</f>
        <v>66</v>
      </c>
      <c r="B94" s="7" t="s">
        <v>601</v>
      </c>
      <c r="C94" s="6"/>
      <c r="D94" s="8" t="str">
        <f t="shared" ref="D94:D101" si="18">+IF(C94="","",+IF(C94=0,"No Cumple",+IF(C94=1,"Cumple Parcial",+IF(C94=2,"Cumple Completo",+IF(C94="N","NA")))))</f>
        <v/>
      </c>
      <c r="E94" s="39"/>
    </row>
    <row r="95" spans="1:5" ht="25" customHeight="1">
      <c r="A95" s="6">
        <f t="shared" ref="A95:A101" si="19">1+A94</f>
        <v>67</v>
      </c>
      <c r="B95" s="7" t="s">
        <v>602</v>
      </c>
      <c r="C95" s="6"/>
      <c r="D95" s="8" t="str">
        <f t="shared" si="18"/>
        <v/>
      </c>
      <c r="E95" s="39"/>
    </row>
    <row r="96" spans="1:5" ht="31">
      <c r="A96" s="6">
        <f t="shared" si="19"/>
        <v>68</v>
      </c>
      <c r="B96" s="7" t="s">
        <v>603</v>
      </c>
      <c r="C96" s="6"/>
      <c r="D96" s="8" t="str">
        <f t="shared" si="18"/>
        <v/>
      </c>
      <c r="E96" s="39"/>
    </row>
    <row r="97" spans="1:5" ht="31">
      <c r="A97" s="6">
        <f t="shared" si="19"/>
        <v>69</v>
      </c>
      <c r="B97" s="7" t="s">
        <v>604</v>
      </c>
      <c r="C97" s="6"/>
      <c r="D97" s="8" t="str">
        <f t="shared" si="18"/>
        <v/>
      </c>
      <c r="E97" s="39"/>
    </row>
    <row r="98" spans="1:5" ht="25" customHeight="1">
      <c r="A98" s="6">
        <f t="shared" si="19"/>
        <v>70</v>
      </c>
      <c r="B98" s="7" t="s">
        <v>596</v>
      </c>
      <c r="C98" s="6"/>
      <c r="D98" s="8" t="str">
        <f t="shared" si="18"/>
        <v/>
      </c>
      <c r="E98" s="39"/>
    </row>
    <row r="99" spans="1:5" ht="25" customHeight="1">
      <c r="A99" s="6">
        <f t="shared" si="19"/>
        <v>71</v>
      </c>
      <c r="B99" s="7" t="s">
        <v>605</v>
      </c>
      <c r="C99" s="6"/>
      <c r="D99" s="8" t="str">
        <f t="shared" si="18"/>
        <v/>
      </c>
      <c r="E99" s="39"/>
    </row>
    <row r="100" spans="1:5" ht="25" customHeight="1">
      <c r="A100" s="6">
        <f t="shared" si="19"/>
        <v>72</v>
      </c>
      <c r="B100" s="7" t="s">
        <v>607</v>
      </c>
      <c r="C100" s="6"/>
      <c r="D100" s="8" t="str">
        <f t="shared" si="18"/>
        <v/>
      </c>
      <c r="E100" s="39"/>
    </row>
    <row r="101" spans="1:5" ht="25" customHeight="1">
      <c r="A101" s="6">
        <f t="shared" si="19"/>
        <v>73</v>
      </c>
      <c r="B101" s="7" t="s">
        <v>606</v>
      </c>
      <c r="C101" s="6"/>
      <c r="D101" s="8" t="str">
        <f t="shared" si="18"/>
        <v/>
      </c>
      <c r="E101" s="39"/>
    </row>
    <row r="102" spans="1:5" ht="28" customHeight="1" thickBot="1">
      <c r="A102" s="14"/>
      <c r="B102" s="15"/>
      <c r="C102" s="16">
        <f>SUM(C93:C101)</f>
        <v>0</v>
      </c>
      <c r="D102" s="16">
        <f>+COUNT(C93:C101)*2</f>
        <v>0</v>
      </c>
      <c r="E102" s="11" t="str">
        <f>+IF(C93="","",C102/D102)</f>
        <v/>
      </c>
    </row>
    <row r="103" spans="1:5" ht="25" customHeight="1">
      <c r="A103" s="45" t="s">
        <v>608</v>
      </c>
      <c r="B103" s="44" t="s">
        <v>21</v>
      </c>
    </row>
    <row r="104" spans="1:5" ht="28" customHeight="1">
      <c r="A104" s="6">
        <f>1+A101</f>
        <v>74</v>
      </c>
      <c r="B104" s="7" t="s">
        <v>197</v>
      </c>
      <c r="C104" s="6"/>
      <c r="D104" s="8" t="str">
        <f t="shared" ref="D104:D108" si="20">+IF(C104="","",+IF(C104=0,"No Cumple",+IF(C104=1,"Cumple Parcial",+IF(C104=2,"Cumple Completo",+IF(C104="N","NA")))))</f>
        <v/>
      </c>
      <c r="E104" s="39"/>
    </row>
    <row r="105" spans="1:5" ht="28" customHeight="1">
      <c r="A105" s="6">
        <f>1+A104</f>
        <v>75</v>
      </c>
      <c r="B105" s="7" t="s">
        <v>609</v>
      </c>
      <c r="C105" s="19"/>
      <c r="D105" s="8" t="str">
        <f t="shared" si="20"/>
        <v/>
      </c>
      <c r="E105" s="39"/>
    </row>
    <row r="106" spans="1:5" ht="28" customHeight="1">
      <c r="A106" s="6">
        <f t="shared" ref="A106:A108" si="21">1+A105</f>
        <v>76</v>
      </c>
      <c r="B106" s="7" t="s">
        <v>610</v>
      </c>
      <c r="C106" s="19"/>
      <c r="D106" s="8" t="str">
        <f t="shared" si="20"/>
        <v/>
      </c>
      <c r="E106" s="39"/>
    </row>
    <row r="107" spans="1:5" ht="31">
      <c r="A107" s="6">
        <f t="shared" si="21"/>
        <v>77</v>
      </c>
      <c r="B107" s="31" t="s">
        <v>611</v>
      </c>
      <c r="C107" s="19"/>
      <c r="D107" s="8" t="str">
        <f t="shared" si="20"/>
        <v/>
      </c>
      <c r="E107" s="39"/>
    </row>
    <row r="108" spans="1:5" ht="28" customHeight="1">
      <c r="A108" s="6">
        <f t="shared" si="21"/>
        <v>78</v>
      </c>
      <c r="B108" s="7" t="s">
        <v>612</v>
      </c>
      <c r="C108" s="6"/>
      <c r="D108" s="8" t="str">
        <f t="shared" si="20"/>
        <v/>
      </c>
      <c r="E108" s="39"/>
    </row>
    <row r="109" spans="1:5" ht="28" customHeight="1" thickBot="1">
      <c r="A109" s="12"/>
      <c r="B109" s="18"/>
      <c r="C109" s="16">
        <f>+SUM(C104:C108)</f>
        <v>0</v>
      </c>
      <c r="D109" s="16">
        <f>+COUNT(C104:C108)*2</f>
        <v>0</v>
      </c>
      <c r="E109" s="11" t="str">
        <f>+IF(C105="","",C109/D109)</f>
        <v/>
      </c>
    </row>
    <row r="110" spans="1:5" ht="28" customHeight="1">
      <c r="A110" s="45" t="s">
        <v>613</v>
      </c>
      <c r="B110" s="44" t="s">
        <v>614</v>
      </c>
    </row>
    <row r="111" spans="1:5" ht="28" customHeight="1">
      <c r="A111" s="6">
        <f>1+A108</f>
        <v>79</v>
      </c>
      <c r="B111" s="7" t="s">
        <v>128</v>
      </c>
      <c r="C111" s="6"/>
      <c r="D111" s="8" t="str">
        <f t="shared" ref="D111:D118" si="22">+IF(C111="","",+IF(C111=0,"No Cumple",+IF(C111=1,"Cumple Parcial",+IF(C111=2,"Cumple Completo",+IF(C111="N","NA")))))</f>
        <v/>
      </c>
      <c r="E111" s="39"/>
    </row>
    <row r="112" spans="1:5" ht="28" customHeight="1">
      <c r="A112" s="6">
        <f>1+A111</f>
        <v>80</v>
      </c>
      <c r="B112" s="38" t="s">
        <v>615</v>
      </c>
      <c r="C112" s="19"/>
      <c r="D112" s="8" t="str">
        <f t="shared" si="22"/>
        <v/>
      </c>
      <c r="E112" s="39"/>
    </row>
    <row r="113" spans="1:5" ht="28" customHeight="1">
      <c r="A113" s="6">
        <f t="shared" ref="A113:A118" si="23">1+A112</f>
        <v>81</v>
      </c>
      <c r="B113" s="7" t="s">
        <v>616</v>
      </c>
      <c r="C113" s="19"/>
      <c r="D113" s="8" t="str">
        <f t="shared" si="22"/>
        <v/>
      </c>
      <c r="E113" s="39"/>
    </row>
    <row r="114" spans="1:5" ht="28" customHeight="1">
      <c r="A114" s="6">
        <f t="shared" si="23"/>
        <v>82</v>
      </c>
      <c r="B114" s="7" t="s">
        <v>617</v>
      </c>
      <c r="C114" s="19"/>
      <c r="D114" s="8" t="str">
        <f t="shared" si="22"/>
        <v/>
      </c>
      <c r="E114" s="39"/>
    </row>
    <row r="115" spans="1:5" ht="28" customHeight="1">
      <c r="A115" s="6">
        <f t="shared" si="23"/>
        <v>83</v>
      </c>
      <c r="B115" s="7" t="s">
        <v>618</v>
      </c>
      <c r="C115" s="19"/>
      <c r="D115" s="8" t="str">
        <f t="shared" si="22"/>
        <v/>
      </c>
      <c r="E115" s="39"/>
    </row>
    <row r="116" spans="1:5" ht="28" customHeight="1">
      <c r="A116" s="6">
        <f t="shared" si="23"/>
        <v>84</v>
      </c>
      <c r="B116" s="38" t="s">
        <v>130</v>
      </c>
      <c r="C116" s="19"/>
      <c r="D116" s="8"/>
      <c r="E116" s="39"/>
    </row>
    <row r="117" spans="1:5" ht="31">
      <c r="A117" s="6">
        <f t="shared" si="23"/>
        <v>85</v>
      </c>
      <c r="B117" s="7" t="s">
        <v>619</v>
      </c>
      <c r="C117" s="19"/>
      <c r="D117" s="8"/>
      <c r="E117" s="39"/>
    </row>
    <row r="118" spans="1:5" ht="28" customHeight="1">
      <c r="A118" s="6">
        <f t="shared" si="23"/>
        <v>86</v>
      </c>
      <c r="B118" s="7" t="s">
        <v>620</v>
      </c>
      <c r="C118" s="6"/>
      <c r="D118" s="8" t="str">
        <f t="shared" si="22"/>
        <v/>
      </c>
      <c r="E118" s="39"/>
    </row>
    <row r="119" spans="1:5" ht="28" customHeight="1" thickBot="1">
      <c r="A119" s="12"/>
      <c r="B119" s="13"/>
      <c r="C119" s="16">
        <f>SUM(C111:C118)</f>
        <v>0</v>
      </c>
      <c r="D119" s="16">
        <f>+COUNT(C111:C118)*2</f>
        <v>0</v>
      </c>
      <c r="E119" s="11" t="str">
        <f>+IF(C113="","",C119/D119)</f>
        <v/>
      </c>
    </row>
    <row r="120" spans="1:5" ht="28" customHeight="1">
      <c r="A120" s="45" t="s">
        <v>13</v>
      </c>
      <c r="B120" s="44" t="s">
        <v>621</v>
      </c>
    </row>
    <row r="121" spans="1:5" ht="28" customHeight="1">
      <c r="A121" s="45" t="s">
        <v>12</v>
      </c>
      <c r="B121" s="44" t="s">
        <v>622</v>
      </c>
    </row>
    <row r="122" spans="1:5" ht="46.5">
      <c r="A122" s="6">
        <f>1+A118</f>
        <v>87</v>
      </c>
      <c r="B122" s="7" t="s">
        <v>623</v>
      </c>
      <c r="C122" s="6"/>
      <c r="D122" s="8" t="str">
        <f t="shared" ref="D122:D125" si="24">+IF(C122="","",+IF(C122=0,"No Cumple",+IF(C122=1,"Cumple Parcial",+IF(C122=2,"Cumple Completo",+IF(C122="N","NA")))))</f>
        <v/>
      </c>
      <c r="E122" s="39"/>
    </row>
    <row r="123" spans="1:5" ht="27" customHeight="1">
      <c r="A123" s="6">
        <f>1+A122</f>
        <v>88</v>
      </c>
      <c r="B123" s="7" t="s">
        <v>624</v>
      </c>
      <c r="C123" s="6"/>
      <c r="D123" s="8" t="str">
        <f t="shared" si="24"/>
        <v/>
      </c>
      <c r="E123" s="39"/>
    </row>
    <row r="124" spans="1:5" ht="27" customHeight="1">
      <c r="A124" s="6">
        <f t="shared" ref="A124:A129" si="25">1+A123</f>
        <v>89</v>
      </c>
      <c r="B124" s="7" t="s">
        <v>625</v>
      </c>
      <c r="C124" s="6"/>
      <c r="D124" s="8" t="str">
        <f t="shared" si="24"/>
        <v/>
      </c>
      <c r="E124" s="39"/>
    </row>
    <row r="125" spans="1:5" ht="27" customHeight="1">
      <c r="A125" s="6">
        <f t="shared" si="25"/>
        <v>90</v>
      </c>
      <c r="B125" s="7" t="s">
        <v>626</v>
      </c>
      <c r="C125" s="6"/>
      <c r="D125" s="8" t="str">
        <f t="shared" si="24"/>
        <v/>
      </c>
      <c r="E125" s="39"/>
    </row>
    <row r="126" spans="1:5" ht="27" customHeight="1">
      <c r="A126" s="6">
        <f t="shared" si="25"/>
        <v>91</v>
      </c>
      <c r="B126" s="7" t="s">
        <v>627</v>
      </c>
      <c r="C126" s="6"/>
      <c r="D126" s="8" t="str">
        <f t="shared" ref="D126:D129" si="26">+IF(C126="","",+IF(C126=0,"No Cumple",+IF(C126=1,"Cumple Parcial",+IF(C126=2,"Cumple Completo",+IF(C126="N","NA")))))</f>
        <v/>
      </c>
      <c r="E126" s="39"/>
    </row>
    <row r="127" spans="1:5" ht="27" customHeight="1">
      <c r="A127" s="6">
        <f t="shared" si="25"/>
        <v>92</v>
      </c>
      <c r="B127" s="7" t="s">
        <v>628</v>
      </c>
      <c r="C127" s="6"/>
      <c r="D127" s="8" t="str">
        <f t="shared" si="26"/>
        <v/>
      </c>
      <c r="E127" s="39"/>
    </row>
    <row r="128" spans="1:5" ht="27" customHeight="1">
      <c r="A128" s="6">
        <f t="shared" si="25"/>
        <v>93</v>
      </c>
      <c r="B128" s="7" t="s">
        <v>629</v>
      </c>
      <c r="C128" s="6"/>
      <c r="D128" s="8" t="str">
        <f t="shared" si="26"/>
        <v/>
      </c>
      <c r="E128" s="39"/>
    </row>
    <row r="129" spans="1:7" ht="27" customHeight="1">
      <c r="A129" s="6">
        <f t="shared" si="25"/>
        <v>94</v>
      </c>
      <c r="B129" s="7" t="s">
        <v>630</v>
      </c>
      <c r="C129" s="6"/>
      <c r="D129" s="8" t="str">
        <f t="shared" si="26"/>
        <v/>
      </c>
      <c r="E129" s="39"/>
    </row>
    <row r="130" spans="1:7" ht="28" customHeight="1" thickBot="1">
      <c r="A130" s="12"/>
      <c r="B130" s="18"/>
      <c r="C130" s="16">
        <f>SUM(C122:C129)</f>
        <v>0</v>
      </c>
      <c r="D130" s="16">
        <f>+COUNT(C122:C129)*2</f>
        <v>0</v>
      </c>
      <c r="E130" s="11" t="str">
        <f>+IF(C122="","",C130/D130)</f>
        <v/>
      </c>
    </row>
    <row r="131" spans="1:7" ht="28" customHeight="1">
      <c r="A131" s="45" t="s">
        <v>14</v>
      </c>
      <c r="B131" s="44" t="s">
        <v>631</v>
      </c>
    </row>
    <row r="132" spans="1:7" ht="28" customHeight="1">
      <c r="A132" s="6">
        <f>1+A129</f>
        <v>95</v>
      </c>
      <c r="B132" s="7" t="s">
        <v>632</v>
      </c>
      <c r="C132" s="6"/>
      <c r="D132" s="8" t="str">
        <f t="shared" ref="D132:D138" si="27">+IF(C132="","",+IF(C132=0,"No Cumple",+IF(C132=1,"Cumple Parcial",+IF(C132=2,"Cumple Completo",+IF(C132="N","NA")))))</f>
        <v/>
      </c>
      <c r="E132" s="39"/>
    </row>
    <row r="133" spans="1:7" ht="28" customHeight="1">
      <c r="A133" s="6">
        <f>1+A132</f>
        <v>96</v>
      </c>
      <c r="B133" s="7" t="s">
        <v>147</v>
      </c>
      <c r="C133" s="6"/>
      <c r="D133" s="8" t="str">
        <f t="shared" si="27"/>
        <v/>
      </c>
      <c r="E133" s="39"/>
    </row>
    <row r="134" spans="1:7" ht="27" customHeight="1">
      <c r="A134" s="6">
        <f t="shared" ref="A134:A136" si="28">1+A133</f>
        <v>97</v>
      </c>
      <c r="B134" s="7" t="s">
        <v>148</v>
      </c>
      <c r="C134" s="6"/>
      <c r="D134" s="8" t="str">
        <f t="shared" si="27"/>
        <v/>
      </c>
      <c r="E134" s="39"/>
    </row>
    <row r="135" spans="1:7" ht="27" customHeight="1">
      <c r="A135" s="6">
        <f t="shared" si="28"/>
        <v>98</v>
      </c>
      <c r="B135" s="7" t="s">
        <v>149</v>
      </c>
      <c r="C135" s="6"/>
      <c r="D135" s="8" t="str">
        <f t="shared" si="27"/>
        <v/>
      </c>
      <c r="E135" s="39"/>
    </row>
    <row r="136" spans="1:7" ht="27" customHeight="1">
      <c r="A136" s="6">
        <f t="shared" si="28"/>
        <v>99</v>
      </c>
      <c r="B136" s="7" t="s">
        <v>633</v>
      </c>
      <c r="C136" s="6"/>
      <c r="D136" s="8" t="str">
        <f t="shared" si="27"/>
        <v/>
      </c>
      <c r="E136" s="39"/>
    </row>
    <row r="137" spans="1:7" ht="35.15" customHeight="1">
      <c r="A137" s="6">
        <f>1+A135</f>
        <v>99</v>
      </c>
      <c r="B137" s="7" t="s">
        <v>634</v>
      </c>
      <c r="C137" s="6"/>
      <c r="D137" s="8" t="str">
        <f t="shared" ref="D137" si="29">+IF(C137="","",+IF(C137=0,"No Cumple",+IF(C137=1,"Cumple Parcial",+IF(C137=2,"Cumple Completo",+IF(C137="N","NA")))))</f>
        <v/>
      </c>
      <c r="E137" s="39"/>
    </row>
    <row r="138" spans="1:7" ht="31">
      <c r="A138" s="6">
        <f>1+A136</f>
        <v>100</v>
      </c>
      <c r="B138" s="7" t="s">
        <v>635</v>
      </c>
      <c r="C138" s="6"/>
      <c r="D138" s="8" t="str">
        <f t="shared" si="27"/>
        <v/>
      </c>
      <c r="E138" s="39"/>
    </row>
    <row r="139" spans="1:7" ht="27" customHeight="1" thickBot="1">
      <c r="A139" s="12"/>
      <c r="B139" s="18"/>
      <c r="C139" s="16">
        <f>SUM(C132:C138)</f>
        <v>0</v>
      </c>
      <c r="D139" s="16">
        <f>+COUNT(C132:C138)*2</f>
        <v>0</v>
      </c>
      <c r="E139" s="11" t="str">
        <f>+IF(C133="","",C139/D139)</f>
        <v/>
      </c>
      <c r="G139" s="29" t="str">
        <f>+IF(E91="","",+AVERAGE(E91,E102,E109,E119,E130,E139))</f>
        <v/>
      </c>
    </row>
    <row r="140" spans="1:7" ht="6" customHeight="1">
      <c r="A140"/>
      <c r="B140"/>
      <c r="C140"/>
      <c r="D140"/>
      <c r="E140"/>
    </row>
    <row r="141" spans="1:7" ht="28" customHeight="1">
      <c r="A141" s="42">
        <v>7</v>
      </c>
      <c r="B141" s="43" t="s">
        <v>158</v>
      </c>
    </row>
    <row r="142" spans="1:7" ht="28" customHeight="1">
      <c r="A142" s="45" t="s">
        <v>16</v>
      </c>
      <c r="B142" s="44" t="s">
        <v>159</v>
      </c>
    </row>
    <row r="143" spans="1:7" ht="33" customHeight="1">
      <c r="A143" s="6">
        <f>1+A138</f>
        <v>101</v>
      </c>
      <c r="B143" s="7" t="s">
        <v>734</v>
      </c>
      <c r="C143" s="6"/>
      <c r="D143" s="8" t="str">
        <f t="shared" ref="D143" si="30">+IF(C143="","",+IF(C143=0,"No Cumple",+IF(C143=1,"Cumple Parcial",+IF(C143=2,"Cumple Completo",+IF(C143="N","NA")))))</f>
        <v/>
      </c>
      <c r="E143" s="39" t="s">
        <v>55</v>
      </c>
    </row>
    <row r="144" spans="1:7" ht="28" customHeight="1" thickBot="1">
      <c r="C144" s="16">
        <f>SUM(C143:C143)</f>
        <v>0</v>
      </c>
      <c r="D144" s="16">
        <f>+COUNT(C143:C143)*2</f>
        <v>0</v>
      </c>
      <c r="E144" s="11" t="str">
        <f>+IF(C143="","",C144/D144)</f>
        <v/>
      </c>
    </row>
    <row r="145" spans="1:5" ht="28" customHeight="1">
      <c r="A145" s="45" t="s">
        <v>17</v>
      </c>
      <c r="B145" s="44" t="s">
        <v>196</v>
      </c>
    </row>
    <row r="146" spans="1:5" ht="28" customHeight="1">
      <c r="A146" s="6">
        <f>1+A143</f>
        <v>102</v>
      </c>
      <c r="B146" s="7" t="s">
        <v>197</v>
      </c>
      <c r="C146" s="6"/>
      <c r="D146" s="8" t="str">
        <f t="shared" ref="D146:D151" si="31">+IF(C146="","",+IF(C146=0,"No Cumple",+IF(C146=1,"Cumple Parcial",+IF(C146=2,"Cumple Completo",+IF(C146="N","NA")))))</f>
        <v/>
      </c>
      <c r="E146" s="39"/>
    </row>
    <row r="147" spans="1:5" ht="37" customHeight="1">
      <c r="A147" s="6">
        <f>1+A146</f>
        <v>103</v>
      </c>
      <c r="B147" s="7" t="s">
        <v>636</v>
      </c>
      <c r="C147" s="6"/>
      <c r="D147" s="8" t="str">
        <f t="shared" si="31"/>
        <v/>
      </c>
      <c r="E147" s="39"/>
    </row>
    <row r="148" spans="1:5" ht="31">
      <c r="A148" s="6">
        <f t="shared" ref="A148:A151" si="32">1+A147</f>
        <v>104</v>
      </c>
      <c r="B148" s="7" t="s">
        <v>637</v>
      </c>
      <c r="C148" s="6"/>
      <c r="D148" s="8" t="str">
        <f t="shared" si="31"/>
        <v/>
      </c>
      <c r="E148" s="39"/>
    </row>
    <row r="149" spans="1:5" ht="28" customHeight="1">
      <c r="A149" s="6">
        <f t="shared" si="32"/>
        <v>105</v>
      </c>
      <c r="B149" s="7" t="s">
        <v>638</v>
      </c>
      <c r="C149" s="6"/>
      <c r="D149" s="8" t="str">
        <f t="shared" ref="D149" si="33">+IF(C149="","",+IF(C149=0,"No Cumple",+IF(C149=1,"Cumple Parcial",+IF(C149=2,"Cumple Completo",+IF(C149="N","NA")))))</f>
        <v/>
      </c>
      <c r="E149" s="39"/>
    </row>
    <row r="150" spans="1:5" ht="31">
      <c r="A150" s="6">
        <f t="shared" si="32"/>
        <v>106</v>
      </c>
      <c r="B150" s="7" t="s">
        <v>639</v>
      </c>
      <c r="C150" s="6"/>
      <c r="D150" s="8" t="str">
        <f t="shared" si="31"/>
        <v/>
      </c>
      <c r="E150" s="39"/>
    </row>
    <row r="151" spans="1:5" ht="28" customHeight="1">
      <c r="A151" s="6">
        <f t="shared" si="32"/>
        <v>107</v>
      </c>
      <c r="B151" s="7" t="s">
        <v>640</v>
      </c>
      <c r="C151" s="6"/>
      <c r="D151" s="8" t="str">
        <f t="shared" si="31"/>
        <v/>
      </c>
      <c r="E151" s="39"/>
    </row>
    <row r="152" spans="1:5" ht="28" customHeight="1" thickBot="1">
      <c r="A152" s="12"/>
      <c r="B152" s="18"/>
      <c r="C152" s="16">
        <f>SUM(C146:C151)</f>
        <v>0</v>
      </c>
      <c r="D152" s="16">
        <f>+COUNT(C146:C151)*2</f>
        <v>0</v>
      </c>
      <c r="E152" s="11" t="str">
        <f>+IF(C147="","",C152/D152)</f>
        <v/>
      </c>
    </row>
    <row r="153" spans="1:5" ht="28" customHeight="1">
      <c r="A153" s="45" t="s">
        <v>201</v>
      </c>
      <c r="B153" s="44" t="s">
        <v>202</v>
      </c>
    </row>
    <row r="154" spans="1:5" ht="31">
      <c r="A154" s="6">
        <f>1+A151</f>
        <v>108</v>
      </c>
      <c r="B154" s="7" t="s">
        <v>203</v>
      </c>
      <c r="C154" s="6"/>
      <c r="D154" s="8" t="str">
        <f t="shared" ref="D154:D158" si="34">+IF(C154="","",+IF(C154=0,"No Cumple",+IF(C154=1,"Cumple Parcial",+IF(C154=2,"Cumple Completo",+IF(C154="N","NA")))))</f>
        <v/>
      </c>
      <c r="E154" s="39"/>
    </row>
    <row r="155" spans="1:5" ht="28" customHeight="1">
      <c r="A155" s="6">
        <f t="shared" ref="A155:A158" si="35">1+A154</f>
        <v>109</v>
      </c>
      <c r="B155" s="7" t="s">
        <v>641</v>
      </c>
      <c r="C155" s="6"/>
      <c r="D155" s="8" t="str">
        <f t="shared" si="34"/>
        <v/>
      </c>
      <c r="E155" s="39"/>
    </row>
    <row r="156" spans="1:5" ht="28" customHeight="1">
      <c r="A156" s="6">
        <f t="shared" si="35"/>
        <v>110</v>
      </c>
      <c r="B156" s="7" t="s">
        <v>642</v>
      </c>
      <c r="C156" s="6"/>
      <c r="D156" s="8" t="str">
        <f t="shared" si="34"/>
        <v/>
      </c>
      <c r="E156" s="39"/>
    </row>
    <row r="157" spans="1:5" ht="28" customHeight="1">
      <c r="A157" s="6">
        <f t="shared" si="35"/>
        <v>111</v>
      </c>
      <c r="B157" s="7" t="s">
        <v>643</v>
      </c>
      <c r="C157" s="6"/>
      <c r="D157" s="8" t="str">
        <f t="shared" si="34"/>
        <v/>
      </c>
      <c r="E157" s="39"/>
    </row>
    <row r="158" spans="1:5" ht="31">
      <c r="A158" s="6">
        <f t="shared" si="35"/>
        <v>112</v>
      </c>
      <c r="B158" s="7" t="s">
        <v>644</v>
      </c>
      <c r="C158" s="6"/>
      <c r="D158" s="8" t="str">
        <f t="shared" si="34"/>
        <v/>
      </c>
      <c r="E158" s="39"/>
    </row>
    <row r="159" spans="1:5" ht="28" customHeight="1" thickBot="1">
      <c r="A159" s="12"/>
      <c r="B159" s="18"/>
      <c r="C159" s="16">
        <f>SUM(C154:C158)</f>
        <v>0</v>
      </c>
      <c r="D159" s="16">
        <f>+COUNT(C154:C158)*2</f>
        <v>0</v>
      </c>
      <c r="E159" s="11" t="str">
        <f>+IF(C155="","",C159/D159)</f>
        <v/>
      </c>
    </row>
    <row r="160" spans="1:5" ht="28" customHeight="1">
      <c r="A160" s="45" t="s">
        <v>208</v>
      </c>
      <c r="B160" s="44" t="s">
        <v>2</v>
      </c>
    </row>
    <row r="161" spans="1:5" ht="28" customHeight="1">
      <c r="A161" s="45" t="s">
        <v>645</v>
      </c>
      <c r="B161" s="44" t="s">
        <v>10</v>
      </c>
    </row>
    <row r="162" spans="1:5" ht="31">
      <c r="A162" s="6">
        <f>1+A158</f>
        <v>113</v>
      </c>
      <c r="B162" s="7" t="s">
        <v>646</v>
      </c>
      <c r="C162" s="6"/>
      <c r="D162" s="8" t="str">
        <f t="shared" ref="D162:D171" si="36">+IF(C162="","",+IF(C162=0,"No Cumple",+IF(C162=1,"Cumple Parcial",+IF(C162=2,"Cumple Completo",+IF(C162="N","NA")))))</f>
        <v/>
      </c>
      <c r="E162" s="39"/>
    </row>
    <row r="163" spans="1:5" ht="27" customHeight="1">
      <c r="A163" s="6">
        <f t="shared" ref="A163:A171" si="37">1+A162</f>
        <v>114</v>
      </c>
      <c r="B163" s="7" t="s">
        <v>210</v>
      </c>
      <c r="C163" s="6"/>
      <c r="D163" s="8" t="str">
        <f t="shared" si="36"/>
        <v/>
      </c>
      <c r="E163" s="39"/>
    </row>
    <row r="164" spans="1:5" ht="27" customHeight="1">
      <c r="A164" s="6">
        <f t="shared" si="37"/>
        <v>115</v>
      </c>
      <c r="B164" s="7" t="s">
        <v>211</v>
      </c>
      <c r="C164" s="6"/>
      <c r="D164" s="8" t="str">
        <f t="shared" si="36"/>
        <v/>
      </c>
      <c r="E164" s="39"/>
    </row>
    <row r="165" spans="1:5" ht="27" customHeight="1">
      <c r="A165" s="6">
        <f t="shared" si="37"/>
        <v>116</v>
      </c>
      <c r="B165" s="7" t="s">
        <v>212</v>
      </c>
      <c r="C165" s="6"/>
      <c r="D165" s="8" t="str">
        <f t="shared" si="36"/>
        <v/>
      </c>
      <c r="E165" s="39"/>
    </row>
    <row r="166" spans="1:5" ht="27" customHeight="1">
      <c r="A166" s="6">
        <f t="shared" si="37"/>
        <v>117</v>
      </c>
      <c r="B166" s="7" t="s">
        <v>213</v>
      </c>
      <c r="C166" s="6"/>
      <c r="D166" s="8" t="str">
        <f t="shared" ref="D166:D170" si="38">+IF(C166="","",+IF(C166=0,"No Cumple",+IF(C166=1,"Cumple Parcial",+IF(C166=2,"Cumple Completo",+IF(C166="N","NA")))))</f>
        <v/>
      </c>
      <c r="E166" s="39"/>
    </row>
    <row r="167" spans="1:5" ht="27" customHeight="1">
      <c r="A167" s="6">
        <f t="shared" si="37"/>
        <v>118</v>
      </c>
      <c r="B167" s="7" t="s">
        <v>647</v>
      </c>
      <c r="C167" s="6"/>
      <c r="D167" s="8" t="str">
        <f t="shared" si="38"/>
        <v/>
      </c>
      <c r="E167" s="39"/>
    </row>
    <row r="168" spans="1:5" ht="27" customHeight="1">
      <c r="A168" s="6">
        <f t="shared" si="37"/>
        <v>119</v>
      </c>
      <c r="B168" s="7" t="s">
        <v>648</v>
      </c>
      <c r="C168" s="6"/>
      <c r="D168" s="8" t="str">
        <f t="shared" si="38"/>
        <v/>
      </c>
      <c r="E168" s="39"/>
    </row>
    <row r="169" spans="1:5" ht="31">
      <c r="A169" s="6">
        <f t="shared" si="37"/>
        <v>120</v>
      </c>
      <c r="B169" s="7" t="s">
        <v>649</v>
      </c>
      <c r="C169" s="6"/>
      <c r="D169" s="8" t="str">
        <f t="shared" si="38"/>
        <v/>
      </c>
      <c r="E169" s="39"/>
    </row>
    <row r="170" spans="1:5" ht="28" customHeight="1">
      <c r="A170" s="6">
        <f t="shared" si="37"/>
        <v>121</v>
      </c>
      <c r="B170" s="7" t="s">
        <v>650</v>
      </c>
      <c r="C170" s="6"/>
      <c r="D170" s="8" t="str">
        <f t="shared" si="38"/>
        <v/>
      </c>
      <c r="E170" s="39"/>
    </row>
    <row r="171" spans="1:5" ht="31">
      <c r="A171" s="6">
        <f t="shared" si="37"/>
        <v>122</v>
      </c>
      <c r="B171" s="7" t="s">
        <v>651</v>
      </c>
      <c r="C171" s="6"/>
      <c r="D171" s="8" t="str">
        <f t="shared" si="36"/>
        <v/>
      </c>
      <c r="E171" s="39"/>
    </row>
    <row r="172" spans="1:5" ht="28" customHeight="1" thickBot="1">
      <c r="A172" s="12"/>
      <c r="B172" s="18"/>
      <c r="C172" s="16">
        <f>SUM(C162:C171)</f>
        <v>0</v>
      </c>
      <c r="D172" s="16">
        <f>+COUNT(C162:C171)*2</f>
        <v>0</v>
      </c>
      <c r="E172" s="11" t="str">
        <f>+IF(C162="","",C172/D172)</f>
        <v/>
      </c>
    </row>
    <row r="173" spans="1:5" ht="28" customHeight="1">
      <c r="A173" s="45" t="s">
        <v>652</v>
      </c>
      <c r="B173" s="44" t="s">
        <v>653</v>
      </c>
    </row>
    <row r="174" spans="1:5" ht="28" customHeight="1">
      <c r="A174" s="6">
        <f>1+A171</f>
        <v>123</v>
      </c>
      <c r="B174" s="7" t="s">
        <v>197</v>
      </c>
      <c r="C174" s="6"/>
      <c r="D174" s="8" t="str">
        <f t="shared" ref="D174:D176" si="39">+IF(C174="","",+IF(C174=0,"No Cumple",+IF(C174=1,"Cumple Parcial",+IF(C174=2,"Cumple Completo",+IF(C174="N","NA")))))</f>
        <v/>
      </c>
      <c r="E174" s="39"/>
    </row>
    <row r="175" spans="1:5" ht="31">
      <c r="A175" s="6">
        <f t="shared" ref="A175:A176" si="40">1+A174</f>
        <v>124</v>
      </c>
      <c r="B175" s="7" t="s">
        <v>654</v>
      </c>
      <c r="C175" s="6"/>
      <c r="D175" s="8" t="str">
        <f t="shared" si="39"/>
        <v/>
      </c>
      <c r="E175" s="39"/>
    </row>
    <row r="176" spans="1:5" ht="31">
      <c r="A176" s="6">
        <f t="shared" si="40"/>
        <v>125</v>
      </c>
      <c r="B176" s="7" t="s">
        <v>655</v>
      </c>
      <c r="C176" s="6"/>
      <c r="D176" s="8" t="str">
        <f t="shared" si="39"/>
        <v/>
      </c>
      <c r="E176" s="39"/>
    </row>
    <row r="177" spans="1:5" ht="28" customHeight="1" thickBot="1">
      <c r="A177" s="12"/>
      <c r="B177" s="18"/>
      <c r="C177" s="16">
        <f>SUM(C174:C176)</f>
        <v>0</v>
      </c>
      <c r="D177" s="16">
        <f>+COUNT(C174:C176)*2</f>
        <v>0</v>
      </c>
      <c r="E177" s="11" t="str">
        <f>+IF(C175="","",C177/D177)</f>
        <v/>
      </c>
    </row>
    <row r="178" spans="1:5" ht="28" customHeight="1">
      <c r="A178" s="45" t="s">
        <v>656</v>
      </c>
      <c r="B178" s="44" t="s">
        <v>657</v>
      </c>
    </row>
    <row r="179" spans="1:5" ht="35.15" customHeight="1">
      <c r="A179" s="6">
        <f>1+A176</f>
        <v>126</v>
      </c>
      <c r="B179" s="7" t="s">
        <v>659</v>
      </c>
      <c r="C179" s="6"/>
      <c r="D179" s="8" t="str">
        <f t="shared" ref="D179" si="41">+IF(C179="","",+IF(C179=0,"No Cumple",+IF(C179=1,"Cumple Parcial",+IF(C179=2,"Cumple Completo",+IF(C179="N","NA")))))</f>
        <v/>
      </c>
      <c r="E179" s="39"/>
    </row>
    <row r="180" spans="1:5" ht="28" customHeight="1" thickBot="1">
      <c r="A180" s="12"/>
      <c r="B180" s="18"/>
      <c r="C180" s="16">
        <f>SUM(C179)</f>
        <v>0</v>
      </c>
      <c r="D180" s="16">
        <f>+COUNT(C179)*2</f>
        <v>0</v>
      </c>
      <c r="E180" s="11" t="str">
        <f>+IF(C179="","",C180/D180)</f>
        <v/>
      </c>
    </row>
    <row r="181" spans="1:5" ht="28" customHeight="1">
      <c r="A181" s="42" t="s">
        <v>215</v>
      </c>
      <c r="B181" s="43" t="s">
        <v>658</v>
      </c>
    </row>
    <row r="182" spans="1:5" ht="28" customHeight="1">
      <c r="A182" s="45" t="s">
        <v>33</v>
      </c>
      <c r="B182" s="44" t="s">
        <v>10</v>
      </c>
    </row>
    <row r="183" spans="1:5" ht="28" customHeight="1">
      <c r="A183" s="6">
        <f>1+A179</f>
        <v>127</v>
      </c>
      <c r="B183" s="7" t="s">
        <v>735</v>
      </c>
      <c r="C183" s="6"/>
      <c r="D183" s="8" t="str">
        <f t="shared" ref="D183:D185" si="42">+IF(C183="","",+IF(C183=0,"No Cumple",+IF(C183=1,"Cumple Parcial",+IF(C183=2,"Cumple Completo",+IF(C183="N","NA")))))</f>
        <v/>
      </c>
      <c r="E183" s="39"/>
    </row>
    <row r="184" spans="1:5" ht="28" customHeight="1">
      <c r="A184" s="6">
        <f t="shared" ref="A184:A185" si="43">1+A183</f>
        <v>128</v>
      </c>
      <c r="B184" s="7" t="s">
        <v>218</v>
      </c>
      <c r="C184" s="6"/>
      <c r="D184" s="8" t="str">
        <f t="shared" si="42"/>
        <v/>
      </c>
      <c r="E184" s="39"/>
    </row>
    <row r="185" spans="1:5" ht="31">
      <c r="A185" s="6">
        <f t="shared" si="43"/>
        <v>129</v>
      </c>
      <c r="B185" s="7" t="s">
        <v>660</v>
      </c>
      <c r="C185" s="6"/>
      <c r="D185" s="8" t="str">
        <f t="shared" si="42"/>
        <v/>
      </c>
      <c r="E185" s="39"/>
    </row>
    <row r="186" spans="1:5" ht="28" customHeight="1" thickBot="1">
      <c r="A186" s="12"/>
      <c r="B186" s="18"/>
      <c r="C186" s="16">
        <f>SUM(C183:C185)</f>
        <v>0</v>
      </c>
      <c r="D186" s="16">
        <f>+COUNT(C183:C185)*2</f>
        <v>0</v>
      </c>
      <c r="E186" s="11" t="str">
        <f>+IF(C184="","",C186/D186)</f>
        <v/>
      </c>
    </row>
    <row r="187" spans="1:5" ht="28" customHeight="1">
      <c r="A187" s="45" t="s">
        <v>34</v>
      </c>
      <c r="B187" s="44" t="s">
        <v>220</v>
      </c>
    </row>
    <row r="188" spans="1:5" ht="31">
      <c r="A188" s="6">
        <f>1+A185</f>
        <v>130</v>
      </c>
      <c r="B188" s="7" t="s">
        <v>517</v>
      </c>
      <c r="C188" s="6"/>
      <c r="D188" s="8" t="str">
        <f t="shared" ref="D188:D191" si="44">+IF(C188="","",+IF(C188=0,"No Cumple",+IF(C188=1,"Cumple Parcial",+IF(C188=2,"Cumple Completo",+IF(C188="N","NA")))))</f>
        <v/>
      </c>
      <c r="E188" s="39"/>
    </row>
    <row r="189" spans="1:5" ht="28" customHeight="1">
      <c r="A189" s="6">
        <f>1+A188</f>
        <v>131</v>
      </c>
      <c r="B189" s="7" t="s">
        <v>221</v>
      </c>
      <c r="C189" s="19"/>
      <c r="D189" s="8" t="str">
        <f t="shared" si="44"/>
        <v/>
      </c>
      <c r="E189" s="39"/>
    </row>
    <row r="190" spans="1:5" ht="31">
      <c r="A190" s="6">
        <f t="shared" ref="A190:A191" si="45">1+A189</f>
        <v>132</v>
      </c>
      <c r="B190" s="7" t="s">
        <v>222</v>
      </c>
      <c r="C190" s="19"/>
      <c r="D190" s="8" t="str">
        <f t="shared" si="44"/>
        <v/>
      </c>
      <c r="E190" s="39"/>
    </row>
    <row r="191" spans="1:5" ht="28" customHeight="1">
      <c r="A191" s="6">
        <f t="shared" si="45"/>
        <v>133</v>
      </c>
      <c r="B191" s="7" t="s">
        <v>223</v>
      </c>
      <c r="C191" s="6"/>
      <c r="D191" s="8" t="str">
        <f t="shared" si="44"/>
        <v/>
      </c>
      <c r="E191" s="39"/>
    </row>
    <row r="192" spans="1:5" ht="28" customHeight="1" thickBot="1">
      <c r="A192" s="12"/>
      <c r="B192" s="18"/>
      <c r="C192" s="16">
        <f>SUM(C188:C191)</f>
        <v>0</v>
      </c>
      <c r="D192" s="16">
        <f>+COUNT(C188:C191)*2</f>
        <v>0</v>
      </c>
      <c r="E192" s="11" t="str">
        <f>+IF(C189="","",C192/D192)</f>
        <v/>
      </c>
    </row>
    <row r="193" spans="1:7" ht="28" customHeight="1">
      <c r="A193" s="45" t="s">
        <v>35</v>
      </c>
      <c r="B193" s="44" t="s">
        <v>224</v>
      </c>
    </row>
    <row r="194" spans="1:7" ht="31">
      <c r="A194" s="6">
        <f>1+A191</f>
        <v>134</v>
      </c>
      <c r="B194" s="7" t="s">
        <v>564</v>
      </c>
      <c r="C194" s="6"/>
      <c r="D194" s="8" t="str">
        <f t="shared" ref="D194:D195" si="46">+IF(C194="","",+IF(C194=0,"No Cumple",+IF(C194=1,"Cumple Parcial",+IF(C194=2,"Cumple Completo",+IF(C194="N","NA")))))</f>
        <v/>
      </c>
      <c r="E194" s="39"/>
    </row>
    <row r="195" spans="1:7" ht="28" customHeight="1">
      <c r="A195" s="6">
        <f t="shared" ref="A195:A197" si="47">1+A194</f>
        <v>135</v>
      </c>
      <c r="B195" s="7" t="s">
        <v>227</v>
      </c>
      <c r="C195" s="6"/>
      <c r="D195" s="8" t="str">
        <f t="shared" si="46"/>
        <v/>
      </c>
      <c r="E195" s="39"/>
    </row>
    <row r="196" spans="1:7" ht="33" customHeight="1">
      <c r="A196" s="6">
        <f t="shared" si="47"/>
        <v>136</v>
      </c>
      <c r="B196" s="7" t="s">
        <v>518</v>
      </c>
      <c r="C196" s="6"/>
      <c r="D196" s="8" t="str">
        <f t="shared" ref="D196" si="48">+IF(C196="","",+IF(C196=0,"No Cumple",+IF(C196=1,"Cumple Parcial",+IF(C196=2,"Cumple Completo",+IF(C196="N","NA")))))</f>
        <v/>
      </c>
      <c r="E196" s="39"/>
    </row>
    <row r="197" spans="1:7" ht="31">
      <c r="A197" s="6">
        <f t="shared" si="47"/>
        <v>137</v>
      </c>
      <c r="B197" s="7" t="s">
        <v>231</v>
      </c>
      <c r="C197" s="6"/>
      <c r="D197" s="8" t="str">
        <f t="shared" ref="D197:D201" si="49">+IF(C197="","",+IF(C197=0,"No Cumple",+IF(C197=1,"Cumple Parcial",+IF(C197=2,"Cumple Completo",+IF(C197="N","NA")))))</f>
        <v/>
      </c>
      <c r="E197" s="39"/>
    </row>
    <row r="198" spans="1:7" ht="28" customHeight="1">
      <c r="A198" s="6">
        <f t="shared" ref="A198:A202" si="50">1+A197</f>
        <v>138</v>
      </c>
      <c r="B198" s="7" t="s">
        <v>232</v>
      </c>
      <c r="C198" s="6"/>
      <c r="D198" s="8" t="str">
        <f t="shared" si="49"/>
        <v/>
      </c>
      <c r="E198" s="39"/>
    </row>
    <row r="199" spans="1:7" ht="28" customHeight="1">
      <c r="A199" s="6">
        <f t="shared" si="50"/>
        <v>139</v>
      </c>
      <c r="B199" s="7" t="s">
        <v>233</v>
      </c>
      <c r="C199" s="6"/>
      <c r="D199" s="8" t="str">
        <f t="shared" si="49"/>
        <v/>
      </c>
      <c r="E199" s="39"/>
    </row>
    <row r="200" spans="1:7" ht="28" customHeight="1">
      <c r="A200" s="6">
        <f t="shared" si="50"/>
        <v>140</v>
      </c>
      <c r="B200" s="7" t="s">
        <v>234</v>
      </c>
      <c r="C200" s="6"/>
      <c r="D200" s="8" t="str">
        <f t="shared" si="49"/>
        <v/>
      </c>
      <c r="E200" s="39"/>
    </row>
    <row r="201" spans="1:7" ht="28" customHeight="1">
      <c r="A201" s="6">
        <f t="shared" si="50"/>
        <v>141</v>
      </c>
      <c r="B201" s="7" t="s">
        <v>235</v>
      </c>
      <c r="C201" s="6"/>
      <c r="D201" s="8" t="str">
        <f t="shared" si="49"/>
        <v/>
      </c>
      <c r="E201" s="39"/>
    </row>
    <row r="202" spans="1:7" ht="31">
      <c r="A202" s="6">
        <f t="shared" si="50"/>
        <v>142</v>
      </c>
      <c r="B202" s="7" t="s">
        <v>565</v>
      </c>
      <c r="C202" s="6"/>
      <c r="D202" s="8" t="str">
        <f t="shared" ref="D202" si="51">+IF(C202="","",+IF(C202=0,"No Cumple",+IF(C202=1,"Cumple Parcial",+IF(C202=2,"Cumple Completo",+IF(C202="N","NA")))))</f>
        <v/>
      </c>
      <c r="E202" s="39"/>
    </row>
    <row r="203" spans="1:7" ht="28" customHeight="1" thickBot="1">
      <c r="A203" s="12"/>
      <c r="B203" s="18"/>
      <c r="C203" s="16">
        <f>SUM(C194:C202)</f>
        <v>0</v>
      </c>
      <c r="D203" s="16">
        <f>+COUNT(C194:C202)*2</f>
        <v>0</v>
      </c>
      <c r="E203" s="11" t="str">
        <f>+IF(C195="","",C203/D203)</f>
        <v/>
      </c>
      <c r="G203" s="29" t="str">
        <f>+IF(E144="","",+AVERAGE(E144,E152,E159,E172,E177,E180,E186,E192,E203))</f>
        <v/>
      </c>
    </row>
    <row r="204" spans="1:7" ht="6" customHeight="1">
      <c r="A204"/>
      <c r="B204"/>
      <c r="C204"/>
      <c r="D204"/>
      <c r="E204"/>
    </row>
    <row r="205" spans="1:7" ht="28" customHeight="1">
      <c r="A205" s="42">
        <v>8</v>
      </c>
      <c r="B205" s="43" t="s">
        <v>243</v>
      </c>
    </row>
    <row r="206" spans="1:7" ht="28" customHeight="1">
      <c r="A206" s="45" t="s">
        <v>37</v>
      </c>
      <c r="B206" s="44" t="s">
        <v>244</v>
      </c>
    </row>
    <row r="207" spans="1:7" ht="35.15" customHeight="1">
      <c r="A207" s="6">
        <f>1+A202</f>
        <v>143</v>
      </c>
      <c r="B207" s="7" t="s">
        <v>661</v>
      </c>
      <c r="C207" s="19"/>
      <c r="D207" s="8" t="str">
        <f t="shared" ref="D207:D210" si="52">+IF(C207="","",+IF(C207=0,"No Cumple",+IF(C207=1,"Cumple Parcial",+IF(C207=2,"Cumple Completo",+IF(C207="N","NA")))))</f>
        <v/>
      </c>
      <c r="E207" s="39"/>
    </row>
    <row r="208" spans="1:7" ht="28" customHeight="1">
      <c r="A208" s="6">
        <f>1+A207</f>
        <v>144</v>
      </c>
      <c r="B208" s="7" t="s">
        <v>732</v>
      </c>
      <c r="C208" s="19"/>
      <c r="D208" s="8" t="str">
        <f t="shared" si="52"/>
        <v/>
      </c>
      <c r="E208" s="39"/>
    </row>
    <row r="209" spans="1:5" ht="28" customHeight="1">
      <c r="A209" s="6">
        <f>1+A208</f>
        <v>145</v>
      </c>
      <c r="B209" s="7" t="s">
        <v>733</v>
      </c>
      <c r="C209" s="19"/>
      <c r="D209" s="8" t="str">
        <f t="shared" si="52"/>
        <v/>
      </c>
      <c r="E209" s="39"/>
    </row>
    <row r="210" spans="1:5" ht="31">
      <c r="A210" s="6">
        <f>1+A209</f>
        <v>146</v>
      </c>
      <c r="B210" s="7" t="s">
        <v>662</v>
      </c>
      <c r="C210" s="19"/>
      <c r="D210" s="8" t="str">
        <f t="shared" si="52"/>
        <v/>
      </c>
      <c r="E210" s="39"/>
    </row>
    <row r="211" spans="1:5" ht="46.5">
      <c r="A211" s="6">
        <f t="shared" ref="A211:A217" si="53">1+A210</f>
        <v>147</v>
      </c>
      <c r="B211" s="7" t="s">
        <v>663</v>
      </c>
      <c r="C211" s="19"/>
      <c r="D211" s="8" t="str">
        <f t="shared" ref="D211:D216" si="54">+IF(C211="","",+IF(C211=0,"No Cumple",+IF(C211=1,"Cumple Parcial",+IF(C211=2,"Cumple Completo",+IF(C211="N","NA")))))</f>
        <v/>
      </c>
      <c r="E211" s="39"/>
    </row>
    <row r="212" spans="1:5" ht="28" customHeight="1">
      <c r="A212" s="6">
        <f t="shared" si="53"/>
        <v>148</v>
      </c>
      <c r="B212" s="7" t="s">
        <v>664</v>
      </c>
      <c r="C212" s="19"/>
      <c r="D212" s="8" t="str">
        <f t="shared" si="54"/>
        <v/>
      </c>
      <c r="E212" s="39"/>
    </row>
    <row r="213" spans="1:5" ht="31">
      <c r="A213" s="6">
        <f t="shared" si="53"/>
        <v>149</v>
      </c>
      <c r="B213" s="7" t="s">
        <v>665</v>
      </c>
      <c r="C213" s="19"/>
      <c r="D213" s="8" t="str">
        <f t="shared" si="54"/>
        <v/>
      </c>
      <c r="E213" s="39"/>
    </row>
    <row r="214" spans="1:5" ht="28" customHeight="1">
      <c r="A214" s="6">
        <f t="shared" si="53"/>
        <v>150</v>
      </c>
      <c r="B214" s="7" t="s">
        <v>666</v>
      </c>
      <c r="C214" s="19"/>
      <c r="D214" s="8" t="str">
        <f t="shared" si="54"/>
        <v/>
      </c>
      <c r="E214" s="39"/>
    </row>
    <row r="215" spans="1:5" ht="28" customHeight="1">
      <c r="A215" s="6">
        <f t="shared" si="53"/>
        <v>151</v>
      </c>
      <c r="B215" s="7" t="s">
        <v>667</v>
      </c>
      <c r="C215" s="19"/>
      <c r="D215" s="8" t="str">
        <f t="shared" si="54"/>
        <v/>
      </c>
      <c r="E215" s="39"/>
    </row>
    <row r="216" spans="1:5" ht="46.5">
      <c r="A216" s="6">
        <f t="shared" si="53"/>
        <v>152</v>
      </c>
      <c r="B216" s="7" t="s">
        <v>668</v>
      </c>
      <c r="C216" s="19"/>
      <c r="D216" s="8" t="str">
        <f t="shared" si="54"/>
        <v/>
      </c>
      <c r="E216" s="39"/>
    </row>
    <row r="217" spans="1:5" ht="31">
      <c r="A217" s="6">
        <f t="shared" si="53"/>
        <v>153</v>
      </c>
      <c r="B217" s="7" t="s">
        <v>669</v>
      </c>
      <c r="C217" s="6"/>
      <c r="D217" s="8" t="str">
        <f t="shared" ref="D217" si="55">+IF(C217="","",+IF(C217=0,"No Cumple",+IF(C217=1,"Cumple Parcial",+IF(C217=2,"Cumple Completo",+IF(C217="N","NA")))))</f>
        <v/>
      </c>
      <c r="E217" s="39"/>
    </row>
    <row r="218" spans="1:5" ht="28" customHeight="1" thickBot="1">
      <c r="A218" s="12"/>
      <c r="B218" s="18"/>
      <c r="C218" s="16">
        <f>SUM(C207:C217)</f>
        <v>0</v>
      </c>
      <c r="D218" s="16">
        <f>+COUNT(C207:C217)*2</f>
        <v>0</v>
      </c>
      <c r="E218" s="11" t="str">
        <f>+IF(C208="","",C218/D218)</f>
        <v/>
      </c>
    </row>
    <row r="219" spans="1:5" ht="28" customHeight="1">
      <c r="A219" s="45" t="s">
        <v>259</v>
      </c>
      <c r="B219" s="44" t="s">
        <v>670</v>
      </c>
    </row>
    <row r="220" spans="1:5" ht="31">
      <c r="A220" s="6">
        <f>1+A217</f>
        <v>154</v>
      </c>
      <c r="B220" s="7" t="s">
        <v>671</v>
      </c>
      <c r="C220" s="6"/>
      <c r="D220" s="8" t="str">
        <f t="shared" ref="D220:D223" si="56">+IF(C220="","",+IF(C220=0,"No Cumple",+IF(C220=1,"Cumple Parcial",+IF(C220=2,"Cumple Completo",+IF(C220="N","NA")))))</f>
        <v/>
      </c>
      <c r="E220" s="39"/>
    </row>
    <row r="221" spans="1:5" ht="27" customHeight="1">
      <c r="A221" s="6">
        <f>1+A220</f>
        <v>155</v>
      </c>
      <c r="B221" s="7" t="s">
        <v>197</v>
      </c>
      <c r="C221" s="6"/>
      <c r="D221" s="8" t="str">
        <f t="shared" si="56"/>
        <v/>
      </c>
      <c r="E221" s="39"/>
    </row>
    <row r="222" spans="1:5" ht="31">
      <c r="A222" s="6">
        <f t="shared" ref="A222:A228" si="57">1+A221</f>
        <v>156</v>
      </c>
      <c r="B222" s="7" t="s">
        <v>672</v>
      </c>
      <c r="C222" s="6"/>
      <c r="D222" s="8" t="str">
        <f t="shared" si="56"/>
        <v/>
      </c>
      <c r="E222" s="39"/>
    </row>
    <row r="223" spans="1:5" ht="28" customHeight="1">
      <c r="A223" s="6">
        <f t="shared" si="57"/>
        <v>157</v>
      </c>
      <c r="B223" s="7" t="s">
        <v>673</v>
      </c>
      <c r="C223" s="6"/>
      <c r="D223" s="8" t="str">
        <f t="shared" si="56"/>
        <v/>
      </c>
      <c r="E223" s="39"/>
    </row>
    <row r="224" spans="1:5" ht="31">
      <c r="A224" s="6">
        <f t="shared" si="57"/>
        <v>158</v>
      </c>
      <c r="B224" s="7" t="s">
        <v>674</v>
      </c>
      <c r="C224" s="6"/>
      <c r="D224" s="8" t="str">
        <f t="shared" ref="D224:D228" si="58">+IF(C224="","",+IF(C224=0,"No Cumple",+IF(C224=1,"Cumple Parcial",+IF(C224=2,"Cumple Completo",+IF(C224="N","NA")))))</f>
        <v/>
      </c>
      <c r="E224" s="39"/>
    </row>
    <row r="225" spans="1:7" ht="28" customHeight="1">
      <c r="A225" s="6">
        <f t="shared" si="57"/>
        <v>159</v>
      </c>
      <c r="B225" s="7" t="s">
        <v>675</v>
      </c>
      <c r="C225" s="6"/>
      <c r="D225" s="8" t="str">
        <f t="shared" si="58"/>
        <v/>
      </c>
      <c r="E225" s="39"/>
    </row>
    <row r="226" spans="1:7" ht="31">
      <c r="A226" s="6">
        <f t="shared" si="57"/>
        <v>160</v>
      </c>
      <c r="B226" s="7" t="s">
        <v>676</v>
      </c>
      <c r="C226" s="6"/>
      <c r="D226" s="8" t="str">
        <f t="shared" si="58"/>
        <v/>
      </c>
      <c r="E226" s="39"/>
    </row>
    <row r="227" spans="1:7" ht="46.5">
      <c r="A227" s="6">
        <f t="shared" si="57"/>
        <v>161</v>
      </c>
      <c r="B227" s="7" t="s">
        <v>677</v>
      </c>
      <c r="C227" s="6"/>
      <c r="D227" s="8" t="str">
        <f t="shared" si="58"/>
        <v/>
      </c>
      <c r="E227" s="39"/>
    </row>
    <row r="228" spans="1:7" ht="31">
      <c r="A228" s="6">
        <f t="shared" si="57"/>
        <v>162</v>
      </c>
      <c r="B228" s="7" t="s">
        <v>669</v>
      </c>
      <c r="C228" s="6"/>
      <c r="D228" s="8" t="str">
        <f t="shared" si="58"/>
        <v/>
      </c>
      <c r="E228" s="39"/>
    </row>
    <row r="229" spans="1:7" ht="28" customHeight="1" thickBot="1">
      <c r="A229" s="12"/>
      <c r="B229" s="18"/>
      <c r="C229" s="16">
        <f>SUM(C220:C228)</f>
        <v>0</v>
      </c>
      <c r="D229" s="16">
        <f>+COUNT(C220:C228)*2</f>
        <v>0</v>
      </c>
      <c r="E229" s="11" t="str">
        <f>+IF(C220="","",C229/D229)</f>
        <v/>
      </c>
      <c r="G229" s="29" t="str">
        <f>+IF(E218="","",+AVERAGE(E218,E229))</f>
        <v/>
      </c>
    </row>
    <row r="230" spans="1:7" ht="6" customHeight="1">
      <c r="A230"/>
      <c r="B230"/>
      <c r="C230"/>
      <c r="D230"/>
      <c r="E230"/>
    </row>
    <row r="231" spans="1:7" ht="28" customHeight="1">
      <c r="A231" s="42">
        <v>9</v>
      </c>
      <c r="B231" s="43" t="s">
        <v>420</v>
      </c>
    </row>
    <row r="232" spans="1:7" ht="28" customHeight="1">
      <c r="A232" s="45" t="s">
        <v>421</v>
      </c>
      <c r="B232" s="44" t="s">
        <v>444</v>
      </c>
    </row>
    <row r="233" spans="1:7" ht="28" customHeight="1">
      <c r="A233" s="45" t="s">
        <v>422</v>
      </c>
      <c r="B233" s="44" t="s">
        <v>10</v>
      </c>
    </row>
    <row r="234" spans="1:7" ht="28" customHeight="1">
      <c r="A234" s="6">
        <f>1+A228</f>
        <v>163</v>
      </c>
      <c r="B234" s="7" t="s">
        <v>678</v>
      </c>
      <c r="C234" s="6"/>
      <c r="D234" s="8"/>
      <c r="E234" s="39"/>
    </row>
    <row r="235" spans="1:7" ht="28" customHeight="1">
      <c r="A235" s="6">
        <f>1+A234</f>
        <v>164</v>
      </c>
      <c r="B235" s="7" t="s">
        <v>423</v>
      </c>
      <c r="C235" s="6"/>
      <c r="D235" s="8" t="str">
        <f t="shared" ref="D235:D244" si="59">+IF(C235="","",+IF(C235=0,"No Cumple",+IF(C235=1,"Cumple Parcial",+IF(C235=2,"Cumple Completo",+IF(C235="N","NA")))))</f>
        <v/>
      </c>
      <c r="E235" s="39"/>
    </row>
    <row r="236" spans="1:7" ht="28" customHeight="1">
      <c r="A236" s="6">
        <f t="shared" ref="A236:A244" si="60">1+A235</f>
        <v>165</v>
      </c>
      <c r="B236" s="7" t="s">
        <v>424</v>
      </c>
      <c r="C236" s="6"/>
      <c r="D236" s="8" t="str">
        <f t="shared" si="59"/>
        <v/>
      </c>
      <c r="E236" s="39"/>
    </row>
    <row r="237" spans="1:7" ht="28" customHeight="1">
      <c r="A237" s="6">
        <f t="shared" si="60"/>
        <v>166</v>
      </c>
      <c r="B237" s="7" t="s">
        <v>425</v>
      </c>
      <c r="C237" s="6"/>
      <c r="D237" s="8" t="str">
        <f t="shared" ref="D237:D240" si="61">+IF(C237="","",+IF(C237=0,"No Cumple",+IF(C237=1,"Cumple Parcial",+IF(C237=2,"Cumple Completo",+IF(C237="N","NA")))))</f>
        <v/>
      </c>
      <c r="E237" s="39"/>
    </row>
    <row r="238" spans="1:7" ht="28" customHeight="1">
      <c r="A238" s="6">
        <f t="shared" si="60"/>
        <v>167</v>
      </c>
      <c r="B238" s="7" t="s">
        <v>679</v>
      </c>
      <c r="C238" s="6"/>
      <c r="D238" s="8" t="str">
        <f t="shared" si="61"/>
        <v/>
      </c>
      <c r="E238" s="39"/>
    </row>
    <row r="239" spans="1:7" ht="28" customHeight="1">
      <c r="A239" s="6">
        <f t="shared" si="60"/>
        <v>168</v>
      </c>
      <c r="B239" s="7" t="s">
        <v>426</v>
      </c>
      <c r="C239" s="6"/>
      <c r="D239" s="8" t="str">
        <f t="shared" si="61"/>
        <v/>
      </c>
      <c r="E239" s="39"/>
    </row>
    <row r="240" spans="1:7" ht="28" customHeight="1">
      <c r="A240" s="6">
        <f t="shared" si="60"/>
        <v>169</v>
      </c>
      <c r="B240" s="7" t="s">
        <v>427</v>
      </c>
      <c r="C240" s="6"/>
      <c r="D240" s="8" t="str">
        <f t="shared" si="61"/>
        <v/>
      </c>
      <c r="E240" s="39"/>
    </row>
    <row r="241" spans="1:5" ht="31">
      <c r="A241" s="6">
        <f t="shared" si="60"/>
        <v>170</v>
      </c>
      <c r="B241" s="7" t="s">
        <v>680</v>
      </c>
      <c r="C241" s="6"/>
      <c r="D241" s="8" t="str">
        <f t="shared" ref="D241:D242" si="62">+IF(C241="","",+IF(C241=0,"No Cumple",+IF(C241=1,"Cumple Parcial",+IF(C241=2,"Cumple Completo",+IF(C241="N","NA")))))</f>
        <v/>
      </c>
      <c r="E241" s="39"/>
    </row>
    <row r="242" spans="1:5" ht="28" customHeight="1">
      <c r="A242" s="6">
        <f t="shared" si="60"/>
        <v>171</v>
      </c>
      <c r="B242" s="7" t="s">
        <v>681</v>
      </c>
      <c r="C242" s="6"/>
      <c r="D242" s="8" t="str">
        <f t="shared" si="62"/>
        <v/>
      </c>
      <c r="E242" s="39"/>
    </row>
    <row r="243" spans="1:5" ht="46.5">
      <c r="A243" s="6">
        <f t="shared" si="60"/>
        <v>172</v>
      </c>
      <c r="B243" s="7" t="s">
        <v>682</v>
      </c>
      <c r="C243" s="6"/>
      <c r="D243" s="8" t="str">
        <f t="shared" si="59"/>
        <v/>
      </c>
      <c r="E243" s="39"/>
    </row>
    <row r="244" spans="1:5" ht="31">
      <c r="A244" s="6">
        <f t="shared" si="60"/>
        <v>173</v>
      </c>
      <c r="B244" s="7" t="s">
        <v>683</v>
      </c>
      <c r="C244" s="6"/>
      <c r="D244" s="8" t="str">
        <f t="shared" si="59"/>
        <v/>
      </c>
      <c r="E244" s="39"/>
    </row>
    <row r="245" spans="1:5" ht="28" customHeight="1" thickBot="1">
      <c r="A245" s="12"/>
      <c r="B245" s="18"/>
      <c r="C245" s="16">
        <f>SUM(C234:C244)</f>
        <v>0</v>
      </c>
      <c r="D245" s="16">
        <f>+COUNT(C234:C244)*2</f>
        <v>0</v>
      </c>
      <c r="E245" s="40" t="str">
        <f>+IF(C235="","",C245/D245)</f>
        <v/>
      </c>
    </row>
    <row r="246" spans="1:5" ht="28" customHeight="1">
      <c r="A246" s="45" t="s">
        <v>430</v>
      </c>
      <c r="B246" s="44" t="s">
        <v>684</v>
      </c>
    </row>
    <row r="247" spans="1:5" ht="31">
      <c r="A247" s="6">
        <f>1+A244</f>
        <v>174</v>
      </c>
      <c r="B247" s="7" t="s">
        <v>685</v>
      </c>
      <c r="C247" s="6"/>
      <c r="D247" s="8" t="str">
        <f t="shared" ref="D247" si="63">+IF(C247="","",+IF(C247=0,"No Cumple",+IF(C247=1,"Cumple Parcial",+IF(C247=2,"Cumple Completo",+IF(C247="N","NA")))))</f>
        <v/>
      </c>
      <c r="E247" s="39" t="s">
        <v>55</v>
      </c>
    </row>
    <row r="248" spans="1:5" ht="28" customHeight="1">
      <c r="A248" s="6">
        <f>1+A247</f>
        <v>175</v>
      </c>
      <c r="B248" s="7" t="s">
        <v>197</v>
      </c>
      <c r="C248" s="6"/>
      <c r="D248" s="8" t="str">
        <f t="shared" ref="D248:D252" si="64">+IF(C248="","",+IF(C248=0,"No Cumple",+IF(C248=1,"Cumple Parcial",+IF(C248=2,"Cumple Completo",+IF(C248="N","NA")))))</f>
        <v/>
      </c>
      <c r="E248" s="39"/>
    </row>
    <row r="249" spans="1:5" ht="28" customHeight="1">
      <c r="A249" s="6">
        <f t="shared" ref="A249:A252" si="65">1+A248</f>
        <v>176</v>
      </c>
      <c r="B249" s="7" t="s">
        <v>686</v>
      </c>
      <c r="C249" s="6"/>
      <c r="D249" s="8" t="str">
        <f t="shared" si="64"/>
        <v/>
      </c>
      <c r="E249" s="39"/>
    </row>
    <row r="250" spans="1:5" ht="28" customHeight="1">
      <c r="A250" s="6">
        <f t="shared" si="65"/>
        <v>177</v>
      </c>
      <c r="B250" s="7" t="s">
        <v>687</v>
      </c>
      <c r="C250" s="6"/>
      <c r="D250" s="8" t="str">
        <f t="shared" si="64"/>
        <v/>
      </c>
      <c r="E250" s="39"/>
    </row>
    <row r="251" spans="1:5" ht="28" customHeight="1">
      <c r="A251" s="6">
        <f t="shared" si="65"/>
        <v>178</v>
      </c>
      <c r="B251" s="7" t="s">
        <v>688</v>
      </c>
      <c r="C251" s="6"/>
      <c r="D251" s="8" t="str">
        <f t="shared" si="64"/>
        <v/>
      </c>
      <c r="E251" s="39"/>
    </row>
    <row r="252" spans="1:5" ht="31">
      <c r="A252" s="6">
        <f t="shared" si="65"/>
        <v>179</v>
      </c>
      <c r="B252" s="7" t="s">
        <v>689</v>
      </c>
      <c r="C252" s="6"/>
      <c r="D252" s="8" t="str">
        <f t="shared" si="64"/>
        <v/>
      </c>
      <c r="E252" s="39"/>
    </row>
    <row r="253" spans="1:5" ht="28" customHeight="1" thickBot="1">
      <c r="A253" s="12"/>
      <c r="B253" s="18"/>
      <c r="C253" s="16">
        <f>SUM(C247:C252)</f>
        <v>0</v>
      </c>
      <c r="D253" s="16">
        <f>+COUNT(C247:C252)*2</f>
        <v>0</v>
      </c>
      <c r="E253" s="40" t="str">
        <f>+IF(C247="","",C253/D253)</f>
        <v/>
      </c>
    </row>
    <row r="254" spans="1:5" ht="28" customHeight="1">
      <c r="A254" s="42" t="s">
        <v>442</v>
      </c>
      <c r="B254" s="43" t="s">
        <v>443</v>
      </c>
    </row>
    <row r="255" spans="1:5" ht="28" customHeight="1">
      <c r="A255" s="45" t="s">
        <v>445</v>
      </c>
      <c r="B255" s="44" t="s">
        <v>10</v>
      </c>
    </row>
    <row r="256" spans="1:5" ht="31">
      <c r="A256" s="6">
        <f>1+A252</f>
        <v>180</v>
      </c>
      <c r="B256" s="7" t="s">
        <v>690</v>
      </c>
      <c r="C256" s="6"/>
      <c r="D256" s="8" t="str">
        <f t="shared" ref="D256:D260" si="66">+IF(C256="","",+IF(C256=0,"No Cumple",+IF(C256=1,"Cumple Parcial",+IF(C256=2,"Cumple Completo",+IF(C256="N","NA")))))</f>
        <v/>
      </c>
      <c r="E256" s="39"/>
    </row>
    <row r="257" spans="1:5" ht="28" customHeight="1">
      <c r="A257" s="6">
        <f t="shared" ref="A257:A260" si="67">1+A256</f>
        <v>181</v>
      </c>
      <c r="B257" s="7" t="s">
        <v>447</v>
      </c>
      <c r="C257" s="6"/>
      <c r="D257" s="8" t="str">
        <f t="shared" si="66"/>
        <v/>
      </c>
      <c r="E257" s="39"/>
    </row>
    <row r="258" spans="1:5" ht="28" customHeight="1">
      <c r="A258" s="6">
        <f t="shared" si="67"/>
        <v>182</v>
      </c>
      <c r="B258" s="7" t="s">
        <v>691</v>
      </c>
      <c r="C258" s="6"/>
      <c r="D258" s="8" t="str">
        <f t="shared" ref="D258:D259" si="68">+IF(C258="","",+IF(C258=0,"No Cumple",+IF(C258=1,"Cumple Parcial",+IF(C258=2,"Cumple Completo",+IF(C258="N","NA")))))</f>
        <v/>
      </c>
      <c r="E258" s="39"/>
    </row>
    <row r="259" spans="1:5" ht="28" customHeight="1">
      <c r="A259" s="6">
        <f t="shared" si="67"/>
        <v>183</v>
      </c>
      <c r="B259" s="7" t="s">
        <v>449</v>
      </c>
      <c r="C259" s="6"/>
      <c r="D259" s="8" t="str">
        <f t="shared" si="68"/>
        <v/>
      </c>
      <c r="E259" s="39"/>
    </row>
    <row r="260" spans="1:5" ht="28" customHeight="1">
      <c r="A260" s="6">
        <f t="shared" si="67"/>
        <v>184</v>
      </c>
      <c r="B260" s="7" t="s">
        <v>450</v>
      </c>
      <c r="C260" s="6"/>
      <c r="D260" s="8" t="str">
        <f t="shared" si="66"/>
        <v/>
      </c>
      <c r="E260" s="39"/>
    </row>
    <row r="261" spans="1:5" ht="28" customHeight="1" thickBot="1">
      <c r="A261" s="12"/>
      <c r="B261" s="18"/>
      <c r="C261" s="16">
        <f>SUM(C256:C260)</f>
        <v>0</v>
      </c>
      <c r="D261" s="16">
        <f>+COUNT(C256:C260)*2</f>
        <v>0</v>
      </c>
      <c r="E261" s="40" t="str">
        <f>+IF(C256="","",C261/D261)</f>
        <v/>
      </c>
    </row>
    <row r="262" spans="1:5" ht="28" customHeight="1">
      <c r="A262" s="45" t="s">
        <v>451</v>
      </c>
      <c r="B262" s="44" t="s">
        <v>692</v>
      </c>
    </row>
    <row r="263" spans="1:5" ht="46.5">
      <c r="A263" s="6">
        <f>1+A260</f>
        <v>185</v>
      </c>
      <c r="B263" s="7" t="s">
        <v>693</v>
      </c>
      <c r="C263" s="6"/>
      <c r="D263" s="8" t="str">
        <f t="shared" ref="D263:D269" si="69">+IF(C263="","",+IF(C263=0,"No Cumple",+IF(C263=1,"Cumple Parcial",+IF(C263=2,"Cumple Completo",+IF(C263="N","NA")))))</f>
        <v/>
      </c>
      <c r="E263" s="39"/>
    </row>
    <row r="264" spans="1:5" ht="46.5">
      <c r="A264" s="6">
        <f>1+A263</f>
        <v>186</v>
      </c>
      <c r="B264" s="7" t="s">
        <v>694</v>
      </c>
      <c r="C264" s="6"/>
      <c r="D264" s="8"/>
      <c r="E264" s="39"/>
    </row>
    <row r="265" spans="1:5" ht="28" customHeight="1">
      <c r="A265" s="6">
        <f t="shared" ref="A265:A266" si="70">1+A264</f>
        <v>187</v>
      </c>
      <c r="B265" s="7" t="s">
        <v>197</v>
      </c>
      <c r="C265" s="6"/>
      <c r="D265" s="8"/>
      <c r="E265" s="39"/>
    </row>
    <row r="266" spans="1:5" ht="28" customHeight="1">
      <c r="A266" s="6">
        <f t="shared" si="70"/>
        <v>188</v>
      </c>
      <c r="B266" s="7" t="s">
        <v>695</v>
      </c>
      <c r="C266" s="6"/>
      <c r="D266" s="8" t="str">
        <f t="shared" si="69"/>
        <v/>
      </c>
      <c r="E266" s="39"/>
    </row>
    <row r="267" spans="1:5" ht="31">
      <c r="A267" s="6">
        <f t="shared" ref="A267" si="71">1+A266</f>
        <v>189</v>
      </c>
      <c r="B267" s="7" t="s">
        <v>696</v>
      </c>
      <c r="C267" s="6"/>
      <c r="D267" s="8" t="str">
        <f t="shared" si="69"/>
        <v/>
      </c>
      <c r="E267" s="39"/>
    </row>
    <row r="268" spans="1:5" ht="28" customHeight="1">
      <c r="A268" s="6">
        <f t="shared" ref="A268:A269" si="72">1+A267</f>
        <v>190</v>
      </c>
      <c r="B268" s="7" t="s">
        <v>697</v>
      </c>
      <c r="C268" s="6"/>
      <c r="D268" s="8" t="str">
        <f t="shared" si="69"/>
        <v/>
      </c>
      <c r="E268" s="39"/>
    </row>
    <row r="269" spans="1:5" ht="31">
      <c r="A269" s="6">
        <f t="shared" si="72"/>
        <v>191</v>
      </c>
      <c r="B269" s="7" t="s">
        <v>698</v>
      </c>
      <c r="C269" s="6"/>
      <c r="D269" s="8" t="str">
        <f t="shared" si="69"/>
        <v/>
      </c>
      <c r="E269" s="39"/>
    </row>
    <row r="270" spans="1:5" ht="28" customHeight="1" thickBot="1">
      <c r="A270" s="12"/>
      <c r="B270" s="18"/>
      <c r="C270" s="16">
        <f>SUM(C263:C269)</f>
        <v>0</v>
      </c>
      <c r="D270" s="16">
        <f>+COUNT(C263:C269)*2</f>
        <v>0</v>
      </c>
      <c r="E270" s="40" t="str">
        <f>+IF(C263="","",C270/D270)</f>
        <v/>
      </c>
    </row>
    <row r="271" spans="1:5" ht="28" customHeight="1">
      <c r="A271" s="45" t="s">
        <v>458</v>
      </c>
      <c r="B271" s="44" t="s">
        <v>3</v>
      </c>
    </row>
    <row r="272" spans="1:5" ht="31">
      <c r="A272" s="6">
        <f>1+A269</f>
        <v>192</v>
      </c>
      <c r="B272" s="7" t="s">
        <v>699</v>
      </c>
      <c r="C272" s="6"/>
      <c r="D272" s="8" t="str">
        <f t="shared" ref="D272" si="73">+IF(C272="","",+IF(C272=0,"No Cumple",+IF(C272=1,"Cumple Parcial",+IF(C272=2,"Cumple Completo",+IF(C272="N","NA")))))</f>
        <v/>
      </c>
      <c r="E272" s="39"/>
    </row>
    <row r="273" spans="1:5" ht="28" customHeight="1">
      <c r="A273" s="6">
        <f>1+A272</f>
        <v>193</v>
      </c>
      <c r="B273" s="7" t="s">
        <v>700</v>
      </c>
      <c r="C273" s="6"/>
      <c r="D273" s="8" t="str">
        <f t="shared" ref="D273:D288" si="74">+IF(C273="","",+IF(C273=0,"No Cumple",+IF(C273=1,"Cumple Parcial",+IF(C273=2,"Cumple Completo",+IF(C273="N","NA")))))</f>
        <v/>
      </c>
      <c r="E273" s="39"/>
    </row>
    <row r="274" spans="1:5" ht="28" customHeight="1">
      <c r="A274" s="6">
        <f>1+A273</f>
        <v>194</v>
      </c>
      <c r="B274" s="7" t="s">
        <v>463</v>
      </c>
      <c r="C274" s="6"/>
      <c r="D274" s="8" t="str">
        <f t="shared" si="74"/>
        <v/>
      </c>
      <c r="E274" s="39"/>
    </row>
    <row r="275" spans="1:5" ht="28" customHeight="1">
      <c r="A275" s="6">
        <f t="shared" ref="A275:A288" si="75">1+A274</f>
        <v>195</v>
      </c>
      <c r="B275" s="7" t="s">
        <v>701</v>
      </c>
      <c r="C275" s="6"/>
      <c r="D275" s="8" t="str">
        <f t="shared" si="74"/>
        <v/>
      </c>
      <c r="E275" s="39"/>
    </row>
    <row r="276" spans="1:5" ht="28" customHeight="1">
      <c r="A276" s="6">
        <f t="shared" si="75"/>
        <v>196</v>
      </c>
      <c r="B276" s="7" t="s">
        <v>702</v>
      </c>
      <c r="C276" s="6"/>
      <c r="D276" s="8" t="str">
        <f t="shared" si="74"/>
        <v/>
      </c>
      <c r="E276" s="39"/>
    </row>
    <row r="277" spans="1:5" ht="28" customHeight="1">
      <c r="A277" s="6">
        <f t="shared" si="75"/>
        <v>197</v>
      </c>
      <c r="B277" s="7" t="s">
        <v>703</v>
      </c>
      <c r="C277" s="6"/>
      <c r="D277" s="8" t="str">
        <f t="shared" si="74"/>
        <v/>
      </c>
      <c r="E277" s="39"/>
    </row>
    <row r="278" spans="1:5" ht="28" customHeight="1">
      <c r="A278" s="6">
        <f t="shared" si="75"/>
        <v>198</v>
      </c>
      <c r="B278" s="7" t="s">
        <v>704</v>
      </c>
      <c r="C278" s="6"/>
      <c r="D278" s="8" t="str">
        <f t="shared" si="74"/>
        <v/>
      </c>
      <c r="E278" s="39"/>
    </row>
    <row r="279" spans="1:5" ht="28" customHeight="1">
      <c r="A279" s="6">
        <f t="shared" si="75"/>
        <v>199</v>
      </c>
      <c r="B279" s="7" t="s">
        <v>705</v>
      </c>
      <c r="C279" s="6"/>
      <c r="D279" s="8" t="str">
        <f t="shared" si="74"/>
        <v/>
      </c>
      <c r="E279" s="39"/>
    </row>
    <row r="280" spans="1:5" ht="28" customHeight="1">
      <c r="A280" s="6"/>
      <c r="B280" s="7" t="s">
        <v>706</v>
      </c>
      <c r="C280" s="6"/>
      <c r="D280" s="8" t="str">
        <f t="shared" si="74"/>
        <v/>
      </c>
      <c r="E280" s="39"/>
    </row>
    <row r="281" spans="1:5" ht="28" customHeight="1">
      <c r="A281" s="6">
        <f>1+A279</f>
        <v>200</v>
      </c>
      <c r="B281" s="7" t="s">
        <v>707</v>
      </c>
      <c r="C281" s="6"/>
      <c r="D281" s="8" t="str">
        <f t="shared" si="74"/>
        <v/>
      </c>
      <c r="E281" s="39"/>
    </row>
    <row r="282" spans="1:5" ht="28" customHeight="1">
      <c r="A282" s="6">
        <f t="shared" si="75"/>
        <v>201</v>
      </c>
      <c r="B282" s="7" t="s">
        <v>708</v>
      </c>
      <c r="C282" s="6"/>
      <c r="D282" s="8" t="str">
        <f t="shared" si="74"/>
        <v/>
      </c>
      <c r="E282" s="39"/>
    </row>
    <row r="283" spans="1:5" ht="28" customHeight="1">
      <c r="A283" s="6">
        <f t="shared" si="75"/>
        <v>202</v>
      </c>
      <c r="B283" s="7" t="s">
        <v>709</v>
      </c>
      <c r="C283" s="6"/>
      <c r="D283" s="8" t="str">
        <f t="shared" si="74"/>
        <v/>
      </c>
      <c r="E283" s="39"/>
    </row>
    <row r="284" spans="1:5" ht="28" customHeight="1">
      <c r="A284" s="6">
        <f t="shared" si="75"/>
        <v>203</v>
      </c>
      <c r="B284" s="7" t="s">
        <v>710</v>
      </c>
      <c r="C284" s="6"/>
      <c r="D284" s="8" t="str">
        <f t="shared" si="74"/>
        <v/>
      </c>
      <c r="E284" s="39"/>
    </row>
    <row r="285" spans="1:5" ht="28" customHeight="1">
      <c r="A285" s="6">
        <f t="shared" si="75"/>
        <v>204</v>
      </c>
      <c r="B285" s="7" t="s">
        <v>470</v>
      </c>
      <c r="C285" s="6"/>
      <c r="D285" s="8" t="str">
        <f t="shared" si="74"/>
        <v/>
      </c>
      <c r="E285" s="39"/>
    </row>
    <row r="286" spans="1:5" ht="28" customHeight="1">
      <c r="A286" s="6">
        <f t="shared" si="75"/>
        <v>205</v>
      </c>
      <c r="B286" s="7" t="s">
        <v>711</v>
      </c>
      <c r="C286" s="6"/>
      <c r="D286" s="8" t="str">
        <f t="shared" si="74"/>
        <v/>
      </c>
      <c r="E286" s="39"/>
    </row>
    <row r="287" spans="1:5" ht="28" customHeight="1">
      <c r="A287" s="6">
        <f t="shared" si="75"/>
        <v>206</v>
      </c>
      <c r="B287" s="7" t="s">
        <v>712</v>
      </c>
      <c r="C287" s="6"/>
      <c r="D287" s="8" t="str">
        <f t="shared" si="74"/>
        <v/>
      </c>
      <c r="E287" s="39"/>
    </row>
    <row r="288" spans="1:5" ht="28" customHeight="1">
      <c r="A288" s="6">
        <f t="shared" si="75"/>
        <v>207</v>
      </c>
      <c r="B288" s="7" t="s">
        <v>713</v>
      </c>
      <c r="C288" s="6"/>
      <c r="D288" s="8" t="str">
        <f t="shared" si="74"/>
        <v/>
      </c>
      <c r="E288" s="39"/>
    </row>
    <row r="289" spans="1:7" ht="28" customHeight="1">
      <c r="A289" s="6">
        <f>1+A288</f>
        <v>208</v>
      </c>
      <c r="B289" s="7" t="s">
        <v>714</v>
      </c>
      <c r="C289" s="6"/>
      <c r="D289" s="8" t="str">
        <f t="shared" ref="D289:D296" si="76">+IF(C289="","",+IF(C289=0,"No Cumple",+IF(C289=1,"Cumple Parcial",+IF(C289=2,"Cumple Completo",+IF(C289="N","NA")))))</f>
        <v/>
      </c>
      <c r="E289" s="39"/>
    </row>
    <row r="290" spans="1:7" ht="28" customHeight="1">
      <c r="A290" s="6">
        <f t="shared" ref="A290:A293" si="77">1+A289</f>
        <v>209</v>
      </c>
      <c r="B290" s="7" t="s">
        <v>715</v>
      </c>
      <c r="C290" s="6"/>
      <c r="D290" s="8" t="str">
        <f t="shared" si="76"/>
        <v/>
      </c>
      <c r="E290" s="39"/>
    </row>
    <row r="291" spans="1:7" ht="28" customHeight="1">
      <c r="A291" s="6">
        <f t="shared" si="77"/>
        <v>210</v>
      </c>
      <c r="B291" s="7" t="s">
        <v>716</v>
      </c>
      <c r="C291" s="6"/>
      <c r="D291" s="8" t="str">
        <f t="shared" si="76"/>
        <v/>
      </c>
      <c r="E291" s="39"/>
    </row>
    <row r="292" spans="1:7" ht="28" customHeight="1">
      <c r="A292" s="6">
        <f t="shared" si="77"/>
        <v>211</v>
      </c>
      <c r="B292" s="7" t="s">
        <v>717</v>
      </c>
      <c r="C292" s="6"/>
      <c r="D292" s="8" t="str">
        <f t="shared" si="76"/>
        <v/>
      </c>
      <c r="E292" s="39"/>
    </row>
    <row r="293" spans="1:7" ht="28" customHeight="1">
      <c r="A293" s="6">
        <f t="shared" si="77"/>
        <v>212</v>
      </c>
      <c r="B293" s="7" t="s">
        <v>718</v>
      </c>
      <c r="C293" s="6"/>
      <c r="D293" s="8" t="str">
        <f t="shared" si="76"/>
        <v/>
      </c>
      <c r="E293" s="39"/>
    </row>
    <row r="294" spans="1:7" ht="28" customHeight="1">
      <c r="A294" s="6">
        <f t="shared" ref="A294:A296" si="78">1+A293</f>
        <v>213</v>
      </c>
      <c r="B294" s="7" t="s">
        <v>719</v>
      </c>
      <c r="C294" s="6"/>
      <c r="D294" s="8" t="str">
        <f t="shared" si="76"/>
        <v/>
      </c>
      <c r="E294" s="39"/>
    </row>
    <row r="295" spans="1:7" ht="28" customHeight="1">
      <c r="A295" s="6">
        <f t="shared" si="78"/>
        <v>214</v>
      </c>
      <c r="B295" s="7" t="s">
        <v>720</v>
      </c>
      <c r="C295" s="6"/>
      <c r="D295" s="8" t="str">
        <f t="shared" si="76"/>
        <v/>
      </c>
      <c r="E295" s="39"/>
    </row>
    <row r="296" spans="1:7" ht="31">
      <c r="A296" s="6">
        <f t="shared" si="78"/>
        <v>215</v>
      </c>
      <c r="B296" s="7" t="s">
        <v>481</v>
      </c>
      <c r="C296" s="6"/>
      <c r="D296" s="8" t="str">
        <f t="shared" si="76"/>
        <v/>
      </c>
      <c r="E296" s="39"/>
    </row>
    <row r="297" spans="1:7" ht="28" customHeight="1" thickBot="1">
      <c r="A297" s="12"/>
      <c r="B297" s="18"/>
      <c r="C297" s="16">
        <f>SUM(C272:C296)</f>
        <v>0</v>
      </c>
      <c r="D297" s="16">
        <f>+COUNT(C272:C296)*2</f>
        <v>0</v>
      </c>
      <c r="E297" s="40" t="str">
        <f>+IF(C272="","",C297/D297)</f>
        <v/>
      </c>
      <c r="G297" s="29" t="str">
        <f>+IF(E245="","",+AVERAGE(E245,E253,E261,E270,E297))</f>
        <v/>
      </c>
    </row>
    <row r="298" spans="1:7" ht="6" customHeight="1">
      <c r="A298"/>
      <c r="B298"/>
      <c r="C298"/>
      <c r="D298"/>
      <c r="E298"/>
    </row>
    <row r="299" spans="1:7" ht="28" customHeight="1">
      <c r="A299" s="42">
        <v>10</v>
      </c>
      <c r="B299" s="43" t="s">
        <v>482</v>
      </c>
    </row>
    <row r="300" spans="1:7" ht="28" customHeight="1">
      <c r="A300" s="45" t="s">
        <v>483</v>
      </c>
      <c r="B300" s="44" t="s">
        <v>10</v>
      </c>
    </row>
    <row r="301" spans="1:7" ht="31">
      <c r="A301" s="6">
        <f>1+A296</f>
        <v>216</v>
      </c>
      <c r="B301" s="7" t="s">
        <v>721</v>
      </c>
      <c r="C301" s="6"/>
      <c r="D301" s="8" t="str">
        <f t="shared" ref="D301" si="79">+IF(C301="","",+IF(C301=0,"No Cumple",+IF(C301=1,"Cumple Parcial",+IF(C301=2,"Cumple Completo",+IF(C301="N","NA")))))</f>
        <v/>
      </c>
      <c r="E301" s="39"/>
    </row>
    <row r="302" spans="1:7" ht="28" customHeight="1" thickBot="1">
      <c r="A302" s="12"/>
      <c r="B302" s="18"/>
      <c r="C302" s="16">
        <f>SUM(C301:C301)</f>
        <v>0</v>
      </c>
      <c r="D302" s="16">
        <f>+COUNT(C301:C301)*2</f>
        <v>0</v>
      </c>
      <c r="E302" s="40" t="str">
        <f>+IF(C301="","",C302/D302)</f>
        <v/>
      </c>
    </row>
    <row r="303" spans="1:7" ht="28" customHeight="1">
      <c r="A303" s="45" t="s">
        <v>489</v>
      </c>
      <c r="B303" s="44" t="s">
        <v>490</v>
      </c>
    </row>
    <row r="304" spans="1:7" ht="28" customHeight="1">
      <c r="A304" s="6">
        <f>1+A301</f>
        <v>217</v>
      </c>
      <c r="B304" s="7" t="s">
        <v>722</v>
      </c>
      <c r="C304" s="6"/>
      <c r="D304" s="8"/>
      <c r="E304" s="39"/>
    </row>
    <row r="305" spans="1:5" ht="28" customHeight="1">
      <c r="A305" s="6">
        <f>1+A304</f>
        <v>218</v>
      </c>
      <c r="B305" s="7" t="s">
        <v>493</v>
      </c>
      <c r="C305" s="6"/>
      <c r="D305" s="8" t="str">
        <f t="shared" ref="D305:D312" si="80">+IF(C305="","",+IF(C305=0,"No Cumple",+IF(C305=1,"Cumple Parcial",+IF(C305=2,"Cumple Completo",+IF(C305="N","NA")))))</f>
        <v/>
      </c>
      <c r="E305" s="39"/>
    </row>
    <row r="306" spans="1:5" ht="28" customHeight="1">
      <c r="A306" s="6">
        <f t="shared" ref="A306:A308" si="81">1+A305</f>
        <v>219</v>
      </c>
      <c r="B306" s="7" t="s">
        <v>494</v>
      </c>
      <c r="C306" s="6"/>
      <c r="D306" s="8" t="str">
        <f t="shared" si="80"/>
        <v/>
      </c>
      <c r="E306" s="39"/>
    </row>
    <row r="307" spans="1:5" ht="28" customHeight="1">
      <c r="A307" s="6">
        <f t="shared" si="81"/>
        <v>220</v>
      </c>
      <c r="B307" s="7" t="s">
        <v>723</v>
      </c>
      <c r="C307" s="6"/>
      <c r="D307" s="8" t="str">
        <f t="shared" si="80"/>
        <v/>
      </c>
      <c r="E307" s="39"/>
    </row>
    <row r="308" spans="1:5" ht="31">
      <c r="A308" s="6">
        <f t="shared" si="81"/>
        <v>221</v>
      </c>
      <c r="B308" s="7" t="s">
        <v>724</v>
      </c>
      <c r="C308" s="6"/>
      <c r="D308" s="8" t="str">
        <f t="shared" si="80"/>
        <v/>
      </c>
      <c r="E308" s="39"/>
    </row>
    <row r="309" spans="1:5" ht="28" customHeight="1">
      <c r="A309" s="6">
        <f t="shared" ref="A309:A318" si="82">1+A308</f>
        <v>222</v>
      </c>
      <c r="B309" s="7" t="s">
        <v>725</v>
      </c>
      <c r="C309" s="6"/>
      <c r="D309" s="8" t="str">
        <f t="shared" si="80"/>
        <v/>
      </c>
      <c r="E309" s="39"/>
    </row>
    <row r="310" spans="1:5" ht="28" customHeight="1">
      <c r="A310" s="6">
        <f t="shared" si="82"/>
        <v>223</v>
      </c>
      <c r="B310" s="7" t="s">
        <v>498</v>
      </c>
      <c r="C310" s="6"/>
      <c r="D310" s="8" t="str">
        <f t="shared" si="80"/>
        <v/>
      </c>
      <c r="E310" s="39"/>
    </row>
    <row r="311" spans="1:5" ht="28" customHeight="1">
      <c r="A311" s="6">
        <f t="shared" si="82"/>
        <v>224</v>
      </c>
      <c r="B311" s="7" t="s">
        <v>499</v>
      </c>
      <c r="C311" s="6"/>
      <c r="D311" s="8" t="str">
        <f t="shared" si="80"/>
        <v/>
      </c>
      <c r="E311" s="39"/>
    </row>
    <row r="312" spans="1:5" ht="28" customHeight="1">
      <c r="A312" s="6">
        <f t="shared" si="82"/>
        <v>225</v>
      </c>
      <c r="B312" s="7" t="s">
        <v>500</v>
      </c>
      <c r="C312" s="6"/>
      <c r="D312" s="8" t="str">
        <f t="shared" si="80"/>
        <v/>
      </c>
      <c r="E312" s="39"/>
    </row>
    <row r="313" spans="1:5" ht="28" customHeight="1">
      <c r="A313" s="6">
        <f t="shared" si="82"/>
        <v>226</v>
      </c>
      <c r="B313" s="7" t="s">
        <v>502</v>
      </c>
      <c r="C313" s="6"/>
      <c r="D313" s="8" t="str">
        <f t="shared" ref="D313:D318" si="83">+IF(C313="","",+IF(C313=0,"No Cumple",+IF(C313=1,"Cumple Parcial",+IF(C313=2,"Cumple Completo",+IF(C313="N","NA")))))</f>
        <v/>
      </c>
      <c r="E313" s="39"/>
    </row>
    <row r="314" spans="1:5" ht="28" customHeight="1">
      <c r="A314" s="6">
        <f t="shared" si="82"/>
        <v>227</v>
      </c>
      <c r="B314" s="7" t="s">
        <v>726</v>
      </c>
      <c r="C314" s="6"/>
      <c r="D314" s="8" t="str">
        <f t="shared" si="83"/>
        <v/>
      </c>
      <c r="E314" s="39"/>
    </row>
    <row r="315" spans="1:5" ht="31">
      <c r="A315" s="6">
        <f t="shared" si="82"/>
        <v>228</v>
      </c>
      <c r="B315" s="7" t="s">
        <v>727</v>
      </c>
      <c r="C315" s="6"/>
      <c r="D315" s="8" t="str">
        <f t="shared" si="83"/>
        <v/>
      </c>
      <c r="E315" s="39"/>
    </row>
    <row r="316" spans="1:5" ht="28" customHeight="1">
      <c r="A316" s="6">
        <f t="shared" si="82"/>
        <v>229</v>
      </c>
      <c r="B316" s="7" t="s">
        <v>505</v>
      </c>
      <c r="C316" s="6"/>
      <c r="D316" s="8" t="str">
        <f t="shared" si="83"/>
        <v/>
      </c>
      <c r="E316" s="39"/>
    </row>
    <row r="317" spans="1:5" ht="28" customHeight="1">
      <c r="A317" s="6">
        <f t="shared" si="82"/>
        <v>230</v>
      </c>
      <c r="B317" s="7" t="s">
        <v>728</v>
      </c>
      <c r="C317" s="6"/>
      <c r="D317" s="8" t="str">
        <f t="shared" si="83"/>
        <v/>
      </c>
      <c r="E317" s="39"/>
    </row>
    <row r="318" spans="1:5" ht="28" customHeight="1">
      <c r="A318" s="6">
        <f t="shared" si="82"/>
        <v>231</v>
      </c>
      <c r="B318" s="7" t="s">
        <v>729</v>
      </c>
      <c r="C318" s="6"/>
      <c r="D318" s="8" t="str">
        <f t="shared" si="83"/>
        <v/>
      </c>
      <c r="E318" s="39"/>
    </row>
    <row r="319" spans="1:5" ht="28" customHeight="1" thickBot="1">
      <c r="A319" s="12"/>
      <c r="B319" s="18"/>
      <c r="C319" s="16">
        <f>SUM(C305:C318)</f>
        <v>0</v>
      </c>
      <c r="D319" s="16">
        <f>+COUNT(C305:C318)*2</f>
        <v>0</v>
      </c>
      <c r="E319" s="40" t="str">
        <f>+IF(C305="","",C319/D319)</f>
        <v/>
      </c>
    </row>
    <row r="320" spans="1:5" ht="28" customHeight="1">
      <c r="A320" s="45" t="s">
        <v>508</v>
      </c>
      <c r="B320" s="44" t="s">
        <v>509</v>
      </c>
    </row>
    <row r="321" spans="1:7" ht="31">
      <c r="A321" s="6">
        <f>1+A318</f>
        <v>232</v>
      </c>
      <c r="B321" s="7" t="s">
        <v>730</v>
      </c>
      <c r="C321" s="6"/>
      <c r="D321" s="8" t="str">
        <f t="shared" ref="D321" si="84">+IF(C321="","",+IF(C321=0,"No Cumple",+IF(C321=1,"Cumple Parcial",+IF(C321=2,"Cumple Completo",+IF(C321="N","NA")))))</f>
        <v/>
      </c>
      <c r="E321" s="39"/>
    </row>
    <row r="322" spans="1:7" ht="28" customHeight="1" thickBot="1">
      <c r="A322" s="12"/>
      <c r="B322" s="18"/>
      <c r="C322" s="16">
        <f>SUM(C321:C321)</f>
        <v>0</v>
      </c>
      <c r="D322" s="16">
        <f>+COUNT(C321:C321)*2</f>
        <v>0</v>
      </c>
      <c r="E322" s="40" t="str">
        <f>+IF(C321="","",C322/D322)</f>
        <v/>
      </c>
      <c r="G322" s="29" t="str">
        <f>+IF(E302="","",+AVERAGE(E302,E319,E322))</f>
        <v/>
      </c>
    </row>
  </sheetData>
  <conditionalFormatting sqref="E7">
    <cfRule type="cellIs" dxfId="343" priority="304" operator="between">
      <formula>0</formula>
      <formula>59.9999%</formula>
    </cfRule>
    <cfRule type="cellIs" dxfId="342" priority="303" operator="between">
      <formula>0.6</formula>
      <formula>74.9999%</formula>
    </cfRule>
    <cfRule type="cellIs" dxfId="341" priority="302" operator="between">
      <formula>0.75</formula>
      <formula>95.9999</formula>
    </cfRule>
    <cfRule type="cellIs" dxfId="340" priority="301" operator="between">
      <formula>0.96</formula>
      <formula>1</formula>
    </cfRule>
  </conditionalFormatting>
  <conditionalFormatting sqref="E13">
    <cfRule type="cellIs" dxfId="339" priority="299" operator="between">
      <formula>0.6</formula>
      <formula>74.9999%</formula>
    </cfRule>
    <cfRule type="cellIs" dxfId="338" priority="297" operator="between">
      <formula>0.96</formula>
      <formula>1</formula>
    </cfRule>
    <cfRule type="cellIs" dxfId="337" priority="298" operator="between">
      <formula>0.75</formula>
      <formula>95.9999</formula>
    </cfRule>
    <cfRule type="cellIs" dxfId="336" priority="300" operator="between">
      <formula>0</formula>
      <formula>59.9999%</formula>
    </cfRule>
  </conditionalFormatting>
  <conditionalFormatting sqref="E25">
    <cfRule type="cellIs" dxfId="335" priority="296" operator="between">
      <formula>0</formula>
      <formula>59.9999%</formula>
    </cfRule>
    <cfRule type="cellIs" dxfId="334" priority="294" operator="between">
      <formula>0.75</formula>
      <formula>95.9999</formula>
    </cfRule>
    <cfRule type="cellIs" dxfId="333" priority="295" operator="between">
      <formula>0.6</formula>
      <formula>74.9999%</formula>
    </cfRule>
    <cfRule type="cellIs" dxfId="332" priority="293" operator="between">
      <formula>0.96</formula>
      <formula>1</formula>
    </cfRule>
  </conditionalFormatting>
  <conditionalFormatting sqref="E37">
    <cfRule type="cellIs" dxfId="331" priority="292" operator="between">
      <formula>0</formula>
      <formula>59.9999%</formula>
    </cfRule>
    <cfRule type="cellIs" dxfId="330" priority="291" operator="between">
      <formula>0.6</formula>
      <formula>74.9999%</formula>
    </cfRule>
    <cfRule type="cellIs" dxfId="329" priority="290" operator="between">
      <formula>0.75</formula>
      <formula>95.9999</formula>
    </cfRule>
    <cfRule type="cellIs" dxfId="328" priority="289" operator="between">
      <formula>0.96</formula>
      <formula>1</formula>
    </cfRule>
  </conditionalFormatting>
  <conditionalFormatting sqref="E51">
    <cfRule type="cellIs" dxfId="327" priority="284" operator="between">
      <formula>0</formula>
      <formula>59.9999%</formula>
    </cfRule>
    <cfRule type="cellIs" dxfId="326" priority="283" operator="between">
      <formula>0.6</formula>
      <formula>74.9999%</formula>
    </cfRule>
    <cfRule type="cellIs" dxfId="325" priority="282" operator="between">
      <formula>0.75</formula>
      <formula>95.9999</formula>
    </cfRule>
    <cfRule type="cellIs" dxfId="324" priority="281" operator="between">
      <formula>0.96</formula>
      <formula>1</formula>
    </cfRule>
  </conditionalFormatting>
  <conditionalFormatting sqref="E63">
    <cfRule type="cellIs" dxfId="323" priority="272" operator="between">
      <formula>0</formula>
      <formula>59.9999%</formula>
    </cfRule>
    <cfRule type="cellIs" dxfId="322" priority="271" operator="between">
      <formula>0.6</formula>
      <formula>74.9999%</formula>
    </cfRule>
    <cfRule type="cellIs" dxfId="321" priority="270" operator="between">
      <formula>0.75</formula>
      <formula>95.9999</formula>
    </cfRule>
    <cfRule type="cellIs" dxfId="320" priority="269" operator="between">
      <formula>0.96</formula>
      <formula>1</formula>
    </cfRule>
  </conditionalFormatting>
  <conditionalFormatting sqref="E69">
    <cfRule type="cellIs" dxfId="319" priority="267" operator="between">
      <formula>0.6</formula>
      <formula>74.9999%</formula>
    </cfRule>
    <cfRule type="cellIs" dxfId="318" priority="266" operator="between">
      <formula>0.75</formula>
      <formula>95.9999</formula>
    </cfRule>
    <cfRule type="cellIs" dxfId="317" priority="265" operator="between">
      <formula>0.96</formula>
      <formula>1</formula>
    </cfRule>
    <cfRule type="cellIs" dxfId="316" priority="268" operator="between">
      <formula>0</formula>
      <formula>59.9999%</formula>
    </cfRule>
  </conditionalFormatting>
  <conditionalFormatting sqref="E91">
    <cfRule type="cellIs" dxfId="315" priority="261" operator="between">
      <formula>0.96</formula>
      <formula>1</formula>
    </cfRule>
    <cfRule type="cellIs" dxfId="314" priority="262" operator="between">
      <formula>0.75</formula>
      <formula>95.9999</formula>
    </cfRule>
    <cfRule type="cellIs" dxfId="313" priority="263" operator="between">
      <formula>0.6</formula>
      <formula>74.9999%</formula>
    </cfRule>
    <cfRule type="cellIs" dxfId="312" priority="264" operator="between">
      <formula>0</formula>
      <formula>59.9999%</formula>
    </cfRule>
  </conditionalFormatting>
  <conditionalFormatting sqref="E102">
    <cfRule type="cellIs" dxfId="311" priority="260" operator="between">
      <formula>0</formula>
      <formula>59.9999%</formula>
    </cfRule>
    <cfRule type="cellIs" dxfId="310" priority="259" operator="between">
      <formula>0.6</formula>
      <formula>74.9999%</formula>
    </cfRule>
    <cfRule type="cellIs" dxfId="309" priority="257" operator="between">
      <formula>0.96</formula>
      <formula>1</formula>
    </cfRule>
    <cfRule type="cellIs" dxfId="308" priority="258" operator="between">
      <formula>0.75</formula>
      <formula>95.9999</formula>
    </cfRule>
  </conditionalFormatting>
  <conditionalFormatting sqref="E109">
    <cfRule type="cellIs" dxfId="307" priority="255" operator="between">
      <formula>0.6</formula>
      <formula>74.9999%</formula>
    </cfRule>
    <cfRule type="cellIs" dxfId="306" priority="256" operator="between">
      <formula>0</formula>
      <formula>59.9999%</formula>
    </cfRule>
    <cfRule type="cellIs" dxfId="305" priority="254" operator="between">
      <formula>0.75</formula>
      <formula>95.9999</formula>
    </cfRule>
    <cfRule type="cellIs" dxfId="304" priority="253" operator="between">
      <formula>0.96</formula>
      <formula>1</formula>
    </cfRule>
  </conditionalFormatting>
  <conditionalFormatting sqref="E119">
    <cfRule type="cellIs" dxfId="303" priority="252" operator="between">
      <formula>0</formula>
      <formula>59.9999%</formula>
    </cfRule>
    <cfRule type="cellIs" dxfId="302" priority="251" operator="between">
      <formula>0.6</formula>
      <formula>74.9999%</formula>
    </cfRule>
    <cfRule type="cellIs" dxfId="301" priority="250" operator="between">
      <formula>0.75</formula>
      <formula>95.9999</formula>
    </cfRule>
    <cfRule type="cellIs" dxfId="300" priority="249" operator="between">
      <formula>0.96</formula>
      <formula>1</formula>
    </cfRule>
  </conditionalFormatting>
  <conditionalFormatting sqref="E130">
    <cfRule type="cellIs" dxfId="299" priority="245" operator="between">
      <formula>0.96</formula>
      <formula>1</formula>
    </cfRule>
    <cfRule type="cellIs" dxfId="298" priority="248" operator="between">
      <formula>0</formula>
      <formula>59.9999%</formula>
    </cfRule>
    <cfRule type="cellIs" dxfId="297" priority="247" operator="between">
      <formula>0.6</formula>
      <formula>74.9999%</formula>
    </cfRule>
    <cfRule type="cellIs" dxfId="296" priority="246" operator="between">
      <formula>0.75</formula>
      <formula>95.9999</formula>
    </cfRule>
  </conditionalFormatting>
  <conditionalFormatting sqref="E139">
    <cfRule type="cellIs" dxfId="295" priority="41" operator="between">
      <formula>0.96</formula>
      <formula>1</formula>
    </cfRule>
    <cfRule type="cellIs" dxfId="294" priority="42" operator="between">
      <formula>0.75</formula>
      <formula>95.9999</formula>
    </cfRule>
    <cfRule type="cellIs" dxfId="293" priority="43" operator="between">
      <formula>0.6</formula>
      <formula>74.9999%</formula>
    </cfRule>
    <cfRule type="cellIs" dxfId="292" priority="44" operator="between">
      <formula>0</formula>
      <formula>59.9999%</formula>
    </cfRule>
  </conditionalFormatting>
  <conditionalFormatting sqref="E144">
    <cfRule type="cellIs" dxfId="291" priority="39" operator="between">
      <formula>0.6</formula>
      <formula>74.9999%</formula>
    </cfRule>
    <cfRule type="cellIs" dxfId="290" priority="37" operator="between">
      <formula>0.96</formula>
      <formula>1</formula>
    </cfRule>
    <cfRule type="cellIs" dxfId="289" priority="38" operator="between">
      <formula>0.75</formula>
      <formula>95.9999</formula>
    </cfRule>
    <cfRule type="cellIs" dxfId="288" priority="40" operator="between">
      <formula>0</formula>
      <formula>59.9999%</formula>
    </cfRule>
  </conditionalFormatting>
  <conditionalFormatting sqref="E152">
    <cfRule type="cellIs" dxfId="287" priority="216" operator="between">
      <formula>0</formula>
      <formula>59.9999%</formula>
    </cfRule>
    <cfRule type="cellIs" dxfId="286" priority="215" operator="between">
      <formula>0.6</formula>
      <formula>74.9999%</formula>
    </cfRule>
    <cfRule type="cellIs" dxfId="285" priority="214" operator="between">
      <formula>0.75</formula>
      <formula>95.9999</formula>
    </cfRule>
    <cfRule type="cellIs" dxfId="284" priority="213" operator="between">
      <formula>0.96</formula>
      <formula>1</formula>
    </cfRule>
  </conditionalFormatting>
  <conditionalFormatting sqref="E159">
    <cfRule type="cellIs" dxfId="283" priority="210" operator="between">
      <formula>0.75</formula>
      <formula>95.9999</formula>
    </cfRule>
    <cfRule type="cellIs" dxfId="282" priority="209" operator="between">
      <formula>0.96</formula>
      <formula>1</formula>
    </cfRule>
    <cfRule type="cellIs" dxfId="281" priority="212" operator="between">
      <formula>0</formula>
      <formula>59.9999%</formula>
    </cfRule>
    <cfRule type="cellIs" dxfId="280" priority="211" operator="between">
      <formula>0.6</formula>
      <formula>74.9999%</formula>
    </cfRule>
  </conditionalFormatting>
  <conditionalFormatting sqref="E172">
    <cfRule type="cellIs" dxfId="279" priority="207" operator="between">
      <formula>0.6</formula>
      <formula>74.9999%</formula>
    </cfRule>
    <cfRule type="cellIs" dxfId="278" priority="206" operator="between">
      <formula>0.75</formula>
      <formula>95.9999</formula>
    </cfRule>
    <cfRule type="cellIs" dxfId="277" priority="205" operator="between">
      <formula>0.96</formula>
      <formula>1</formula>
    </cfRule>
    <cfRule type="cellIs" dxfId="276" priority="208" operator="between">
      <formula>0</formula>
      <formula>59.9999%</formula>
    </cfRule>
  </conditionalFormatting>
  <conditionalFormatting sqref="E177">
    <cfRule type="cellIs" dxfId="275" priority="36" operator="between">
      <formula>0</formula>
      <formula>59.9999%</formula>
    </cfRule>
    <cfRule type="cellIs" dxfId="274" priority="35" operator="between">
      <formula>0.6</formula>
      <formula>74.9999%</formula>
    </cfRule>
    <cfRule type="cellIs" dxfId="273" priority="34" operator="between">
      <formula>0.75</formula>
      <formula>95.9999</formula>
    </cfRule>
    <cfRule type="cellIs" dxfId="272" priority="33" operator="between">
      <formula>0.96</formula>
      <formula>1</formula>
    </cfRule>
  </conditionalFormatting>
  <conditionalFormatting sqref="E180">
    <cfRule type="cellIs" dxfId="271" priority="29" operator="between">
      <formula>0.96</formula>
      <formula>1</formula>
    </cfRule>
    <cfRule type="cellIs" dxfId="270" priority="30" operator="between">
      <formula>0.75</formula>
      <formula>95.9999</formula>
    </cfRule>
    <cfRule type="cellIs" dxfId="269" priority="31" operator="between">
      <formula>0.6</formula>
      <formula>74.9999%</formula>
    </cfRule>
    <cfRule type="cellIs" dxfId="268" priority="32" operator="between">
      <formula>0</formula>
      <formula>59.9999%</formula>
    </cfRule>
  </conditionalFormatting>
  <conditionalFormatting sqref="E186">
    <cfRule type="cellIs" dxfId="267" priority="201" operator="between">
      <formula>0.96</formula>
      <formula>1</formula>
    </cfRule>
    <cfRule type="cellIs" dxfId="266" priority="202" operator="between">
      <formula>0.75</formula>
      <formula>95.9999</formula>
    </cfRule>
    <cfRule type="cellIs" dxfId="265" priority="203" operator="between">
      <formula>0.6</formula>
      <formula>74.9999%</formula>
    </cfRule>
    <cfRule type="cellIs" dxfId="264" priority="204" operator="between">
      <formula>0</formula>
      <formula>59.9999%</formula>
    </cfRule>
  </conditionalFormatting>
  <conditionalFormatting sqref="E192">
    <cfRule type="cellIs" dxfId="263" priority="197" operator="between">
      <formula>0.96</formula>
      <formula>1</formula>
    </cfRule>
    <cfRule type="cellIs" dxfId="262" priority="199" operator="between">
      <formula>0.6</formula>
      <formula>74.9999%</formula>
    </cfRule>
    <cfRule type="cellIs" dxfId="261" priority="200" operator="between">
      <formula>0</formula>
      <formula>59.9999%</formula>
    </cfRule>
    <cfRule type="cellIs" dxfId="260" priority="198" operator="between">
      <formula>0.75</formula>
      <formula>95.9999</formula>
    </cfRule>
  </conditionalFormatting>
  <conditionalFormatting sqref="E203">
    <cfRule type="cellIs" dxfId="259" priority="192" operator="between">
      <formula>0</formula>
      <formula>59.9999%</formula>
    </cfRule>
    <cfRule type="cellIs" dxfId="258" priority="190" operator="between">
      <formula>0.75</formula>
      <formula>95.9999</formula>
    </cfRule>
    <cfRule type="cellIs" dxfId="257" priority="189" operator="between">
      <formula>0.96</formula>
      <formula>1</formula>
    </cfRule>
    <cfRule type="cellIs" dxfId="256" priority="191" operator="between">
      <formula>0.6</formula>
      <formula>74.9999%</formula>
    </cfRule>
  </conditionalFormatting>
  <conditionalFormatting sqref="E218">
    <cfRule type="cellIs" dxfId="255" priority="188" operator="between">
      <formula>0</formula>
      <formula>59.9999%</formula>
    </cfRule>
    <cfRule type="cellIs" dxfId="254" priority="187" operator="between">
      <formula>0.6</formula>
      <formula>74.9999%</formula>
    </cfRule>
    <cfRule type="cellIs" dxfId="253" priority="186" operator="between">
      <formula>0.75</formula>
      <formula>95.9999</formula>
    </cfRule>
    <cfRule type="cellIs" dxfId="252" priority="185" operator="between">
      <formula>0.96</formula>
      <formula>1</formula>
    </cfRule>
  </conditionalFormatting>
  <conditionalFormatting sqref="E229">
    <cfRule type="cellIs" dxfId="251" priority="181" operator="between">
      <formula>0.96</formula>
      <formula>1</formula>
    </cfRule>
    <cfRule type="cellIs" dxfId="250" priority="182" operator="between">
      <formula>0.75</formula>
      <formula>95.9999</formula>
    </cfRule>
    <cfRule type="cellIs" dxfId="249" priority="183" operator="between">
      <formula>0.6</formula>
      <formula>74.9999%</formula>
    </cfRule>
    <cfRule type="cellIs" dxfId="248" priority="184" operator="between">
      <formula>0</formula>
      <formula>59.9999%</formula>
    </cfRule>
  </conditionalFormatting>
  <conditionalFormatting sqref="E245">
    <cfRule type="cellIs" dxfId="247" priority="89" operator="between">
      <formula>0.96</formula>
      <formula>1</formula>
    </cfRule>
    <cfRule type="cellIs" dxfId="246" priority="90" operator="between">
      <formula>0.75</formula>
      <formula>95.9999</formula>
    </cfRule>
    <cfRule type="cellIs" dxfId="245" priority="91" operator="between">
      <formula>0.6</formula>
      <formula>74.9999%</formula>
    </cfRule>
    <cfRule type="cellIs" dxfId="244" priority="92" operator="between">
      <formula>0</formula>
      <formula>59.9999%</formula>
    </cfRule>
  </conditionalFormatting>
  <conditionalFormatting sqref="E253">
    <cfRule type="cellIs" dxfId="243" priority="85" operator="between">
      <formula>0.96</formula>
      <formula>1</formula>
    </cfRule>
    <cfRule type="cellIs" dxfId="242" priority="86" operator="between">
      <formula>0.75</formula>
      <formula>95.9999</formula>
    </cfRule>
    <cfRule type="cellIs" dxfId="241" priority="87" operator="between">
      <formula>0.6</formula>
      <formula>74.9999%</formula>
    </cfRule>
    <cfRule type="cellIs" dxfId="240" priority="88" operator="between">
      <formula>0</formula>
      <formula>59.9999%</formula>
    </cfRule>
  </conditionalFormatting>
  <conditionalFormatting sqref="E261">
    <cfRule type="cellIs" dxfId="239" priority="78" operator="between">
      <formula>0.75</formula>
      <formula>95.9999</formula>
    </cfRule>
    <cfRule type="cellIs" dxfId="238" priority="79" operator="between">
      <formula>0.6</formula>
      <formula>74.9999%</formula>
    </cfRule>
    <cfRule type="cellIs" dxfId="237" priority="80" operator="between">
      <formula>0</formula>
      <formula>59.9999%</formula>
    </cfRule>
    <cfRule type="cellIs" dxfId="236" priority="77" operator="between">
      <formula>0.96</formula>
      <formula>1</formula>
    </cfRule>
  </conditionalFormatting>
  <conditionalFormatting sqref="E270">
    <cfRule type="cellIs" dxfId="235" priority="73" operator="between">
      <formula>0.96</formula>
      <formula>1</formula>
    </cfRule>
    <cfRule type="cellIs" dxfId="234" priority="74" operator="between">
      <formula>0.75</formula>
      <formula>95.9999</formula>
    </cfRule>
    <cfRule type="cellIs" dxfId="233" priority="75" operator="between">
      <formula>0.6</formula>
      <formula>74.9999%</formula>
    </cfRule>
    <cfRule type="cellIs" dxfId="232" priority="76" operator="between">
      <formula>0</formula>
      <formula>59.9999%</formula>
    </cfRule>
  </conditionalFormatting>
  <conditionalFormatting sqref="E297">
    <cfRule type="cellIs" dxfId="231" priority="63" operator="between">
      <formula>0.6</formula>
      <formula>74.9999%</formula>
    </cfRule>
    <cfRule type="cellIs" dxfId="230" priority="64" operator="between">
      <formula>0</formula>
      <formula>59.9999%</formula>
    </cfRule>
    <cfRule type="cellIs" dxfId="229" priority="62" operator="between">
      <formula>0.75</formula>
      <formula>95.9999</formula>
    </cfRule>
    <cfRule type="cellIs" dxfId="228" priority="61" operator="between">
      <formula>0.96</formula>
      <formula>1</formula>
    </cfRule>
  </conditionalFormatting>
  <conditionalFormatting sqref="E302">
    <cfRule type="cellIs" dxfId="227" priority="60" operator="between">
      <formula>0</formula>
      <formula>59.9999%</formula>
    </cfRule>
    <cfRule type="cellIs" dxfId="226" priority="59" operator="between">
      <formula>0.6</formula>
      <formula>74.9999%</formula>
    </cfRule>
    <cfRule type="cellIs" dxfId="225" priority="58" operator="between">
      <formula>0.75</formula>
      <formula>95.9999</formula>
    </cfRule>
    <cfRule type="cellIs" dxfId="224" priority="57" operator="between">
      <formula>0.96</formula>
      <formula>1</formula>
    </cfRule>
  </conditionalFormatting>
  <conditionalFormatting sqref="E319">
    <cfRule type="cellIs" dxfId="223" priority="56" operator="between">
      <formula>0</formula>
      <formula>59.9999%</formula>
    </cfRule>
    <cfRule type="cellIs" dxfId="222" priority="55" operator="between">
      <formula>0.6</formula>
      <formula>74.9999%</formula>
    </cfRule>
    <cfRule type="cellIs" dxfId="221" priority="54" operator="between">
      <formula>0.75</formula>
      <formula>95.9999</formula>
    </cfRule>
    <cfRule type="cellIs" dxfId="220" priority="53" operator="between">
      <formula>0.96</formula>
      <formula>1</formula>
    </cfRule>
  </conditionalFormatting>
  <conditionalFormatting sqref="E322">
    <cfRule type="cellIs" dxfId="219" priority="48" operator="between">
      <formula>0</formula>
      <formula>59.9999%</formula>
    </cfRule>
    <cfRule type="cellIs" dxfId="218" priority="47" operator="between">
      <formula>0.6</formula>
      <formula>74.9999%</formula>
    </cfRule>
    <cfRule type="cellIs" dxfId="217" priority="46" operator="between">
      <formula>0.75</formula>
      <formula>95.9999</formula>
    </cfRule>
    <cfRule type="cellIs" dxfId="216" priority="45" operator="between">
      <formula>0.96</formula>
      <formula>1</formula>
    </cfRule>
  </conditionalFormatting>
  <conditionalFormatting sqref="G37">
    <cfRule type="cellIs" dxfId="215" priority="25" operator="between">
      <formula>0.96</formula>
      <formula>1</formula>
    </cfRule>
    <cfRule type="cellIs" dxfId="214" priority="26" operator="between">
      <formula>0.75</formula>
      <formula>95.9999</formula>
    </cfRule>
    <cfRule type="cellIs" dxfId="213" priority="27" operator="between">
      <formula>0.6</formula>
      <formula>74.9999%</formula>
    </cfRule>
    <cfRule type="cellIs" dxfId="212" priority="28" operator="between">
      <formula>0</formula>
      <formula>59.9999%</formula>
    </cfRule>
  </conditionalFormatting>
  <conditionalFormatting sqref="G69">
    <cfRule type="cellIs" dxfId="211" priority="21" operator="between">
      <formula>0.96</formula>
      <formula>1</formula>
    </cfRule>
    <cfRule type="cellIs" dxfId="210" priority="22" operator="between">
      <formula>0.75</formula>
      <formula>95.9999</formula>
    </cfRule>
    <cfRule type="cellIs" dxfId="209" priority="23" operator="between">
      <formula>0.6</formula>
      <formula>74.9999%</formula>
    </cfRule>
    <cfRule type="cellIs" dxfId="208" priority="24" operator="between">
      <formula>0</formula>
      <formula>59.9999%</formula>
    </cfRule>
  </conditionalFormatting>
  <conditionalFormatting sqref="G139">
    <cfRule type="cellIs" dxfId="207" priority="20" operator="between">
      <formula>0</formula>
      <formula>59.9999%</formula>
    </cfRule>
    <cfRule type="cellIs" dxfId="206" priority="17" operator="between">
      <formula>0.96</formula>
      <formula>1</formula>
    </cfRule>
    <cfRule type="cellIs" dxfId="205" priority="18" operator="between">
      <formula>0.75</formula>
      <formula>95.9999</formula>
    </cfRule>
    <cfRule type="cellIs" dxfId="204" priority="19" operator="between">
      <formula>0.6</formula>
      <formula>74.9999%</formula>
    </cfRule>
  </conditionalFormatting>
  <conditionalFormatting sqref="G203">
    <cfRule type="cellIs" dxfId="203" priority="13" operator="between">
      <formula>0.96</formula>
      <formula>1</formula>
    </cfRule>
    <cfRule type="cellIs" dxfId="202" priority="15" operator="between">
      <formula>0.6</formula>
      <formula>74.9999%</formula>
    </cfRule>
    <cfRule type="cellIs" dxfId="201" priority="16" operator="between">
      <formula>0</formula>
      <formula>59.9999%</formula>
    </cfRule>
    <cfRule type="cellIs" dxfId="200" priority="14" operator="between">
      <formula>0.75</formula>
      <formula>95.9999</formula>
    </cfRule>
  </conditionalFormatting>
  <conditionalFormatting sqref="G229">
    <cfRule type="cellIs" dxfId="199" priority="12" operator="between">
      <formula>0</formula>
      <formula>59.9999%</formula>
    </cfRule>
    <cfRule type="cellIs" dxfId="198" priority="11" operator="between">
      <formula>0.6</formula>
      <formula>74.9999%</formula>
    </cfRule>
    <cfRule type="cellIs" dxfId="197" priority="10" operator="between">
      <formula>0.75</formula>
      <formula>95.9999</formula>
    </cfRule>
    <cfRule type="cellIs" dxfId="196" priority="9" operator="between">
      <formula>0.96</formula>
      <formula>1</formula>
    </cfRule>
  </conditionalFormatting>
  <conditionalFormatting sqref="G297">
    <cfRule type="cellIs" dxfId="195" priority="8" operator="between">
      <formula>0</formula>
      <formula>59.9999%</formula>
    </cfRule>
    <cfRule type="cellIs" dxfId="194" priority="7" operator="between">
      <formula>0.6</formula>
      <formula>74.9999%</formula>
    </cfRule>
    <cfRule type="cellIs" dxfId="193" priority="6" operator="between">
      <formula>0.75</formula>
      <formula>95.9999</formula>
    </cfRule>
    <cfRule type="cellIs" dxfId="192" priority="5" operator="between">
      <formula>0.96</formula>
      <formula>1</formula>
    </cfRule>
  </conditionalFormatting>
  <conditionalFormatting sqref="G322">
    <cfRule type="cellIs" dxfId="191" priority="4" operator="between">
      <formula>0</formula>
      <formula>59.9999%</formula>
    </cfRule>
    <cfRule type="cellIs" dxfId="190" priority="2" operator="between">
      <formula>0.75</formula>
      <formula>95.9999</formula>
    </cfRule>
    <cfRule type="cellIs" dxfId="189" priority="1" operator="between">
      <formula>0.96</formula>
      <formula>1</formula>
    </cfRule>
    <cfRule type="cellIs" dxfId="188" priority="3" operator="between">
      <formula>0.6</formula>
      <formula>74.9999%</formula>
    </cfRule>
  </conditionalFormatting>
  <dataValidations count="1">
    <dataValidation type="list" allowBlank="1" showInputMessage="1" showErrorMessage="1" sqref="C104:C108 C74:C90 C65:C68 C111:C118 C321 C10:C12 C154:C158 C183:C185 C188:C191 C207:C217 C5:C6 C16:C25 C53:C62 C143 C146:C151 C179 C220:C228 C235:C244 C247:C252 C301 C28:C37 C41:C50 C93:C101 C122:C129 C132:C138 C162:C171 C174:C176 C194:C202 C256:C260 C263:C269 C272:C296 C305:C318" xr:uid="{00000000-0002-0000-0200-000000000000}">
      <formula1>"0,1,2,N"</formula1>
    </dataValidation>
  </dataValidations>
  <hyperlinks>
    <hyperlink ref="D1" location="Contenido!A9" display="ÍNDICE" xr:uid="{00000000-0004-0000-0200-000000000000}"/>
  </hyperlink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60066"/>
  </sheetPr>
  <dimension ref="A1:L350"/>
  <sheetViews>
    <sheetView showGridLines="0" zoomScale="110" zoomScaleNormal="110" zoomScalePageLayoutView="110" workbookViewId="0">
      <selection activeCell="H5" sqref="H5"/>
    </sheetView>
  </sheetViews>
  <sheetFormatPr baseColWidth="10" defaultColWidth="10.83203125" defaultRowHeight="15.5"/>
  <cols>
    <col min="1" max="1" width="6.58203125" style="2" bestFit="1" customWidth="1"/>
    <col min="2" max="2" width="63.83203125" style="3" customWidth="1"/>
    <col min="3" max="3" width="10.83203125" style="2"/>
    <col min="4" max="4" width="16.08203125" style="5" bestFit="1" customWidth="1"/>
    <col min="5" max="5" width="25.58203125" style="1" customWidth="1"/>
    <col min="6" max="6" width="1" style="1" customWidth="1"/>
    <col min="7" max="16384" width="10.83203125" style="1"/>
  </cols>
  <sheetData>
    <row r="1" spans="1:12" ht="28" customHeight="1">
      <c r="B1" s="4" t="s">
        <v>777</v>
      </c>
      <c r="D1" s="22" t="s">
        <v>32</v>
      </c>
    </row>
    <row r="2" spans="1:12" ht="25" customHeight="1">
      <c r="A2" s="47" t="s">
        <v>1</v>
      </c>
      <c r="B2" s="48" t="s">
        <v>52</v>
      </c>
    </row>
    <row r="3" spans="1:12" ht="25" customHeight="1">
      <c r="A3" s="49" t="s">
        <v>4</v>
      </c>
      <c r="B3" s="50" t="s">
        <v>53</v>
      </c>
    </row>
    <row r="4" spans="1:12" ht="46.5">
      <c r="A4" s="6">
        <v>1</v>
      </c>
      <c r="B4" s="7" t="s">
        <v>736</v>
      </c>
      <c r="C4" s="6"/>
      <c r="D4" s="8" t="str">
        <f t="shared" ref="D4:D5" si="0">+IF(C4="","",+IF(C4=0,"No Cumple",+IF(C4=1,"Cumple Parcial",+IF(C4=2,"Cumple Completo",+IF(C4="N","NA")))))</f>
        <v/>
      </c>
      <c r="E4" s="39"/>
    </row>
    <row r="5" spans="1:12" ht="186">
      <c r="A5" s="6">
        <f>1+A4</f>
        <v>2</v>
      </c>
      <c r="B5" s="38" t="s">
        <v>1016</v>
      </c>
      <c r="C5" s="6"/>
      <c r="D5" s="8" t="str">
        <f t="shared" si="0"/>
        <v/>
      </c>
      <c r="E5" s="39" t="s">
        <v>55</v>
      </c>
    </row>
    <row r="6" spans="1:12" ht="25" customHeight="1" thickBot="1">
      <c r="A6" s="14"/>
      <c r="B6" s="15"/>
      <c r="C6" s="16">
        <f>SUM(C3:C5)</f>
        <v>0</v>
      </c>
      <c r="D6" s="16">
        <f>+COUNT(C3:C5)*2</f>
        <v>0</v>
      </c>
      <c r="E6" s="11" t="str">
        <f>+IF(C4="","",C6/D6)</f>
        <v/>
      </c>
      <c r="H6"/>
      <c r="I6"/>
      <c r="J6"/>
      <c r="K6"/>
      <c r="L6"/>
    </row>
    <row r="7" spans="1:12" ht="53.15" customHeight="1">
      <c r="A7" s="49" t="s">
        <v>0</v>
      </c>
      <c r="B7" s="50" t="s">
        <v>737</v>
      </c>
    </row>
    <row r="8" spans="1:12" ht="31">
      <c r="A8" s="6">
        <f>1+A5</f>
        <v>3</v>
      </c>
      <c r="B8" s="7" t="s">
        <v>738</v>
      </c>
      <c r="C8" s="6"/>
      <c r="D8" s="8" t="str">
        <f>+IF(C8="","",+IF(C8=0,"No Cumple",+IF(C8=1,"Cumple Parcial",+IF(C8=2,"Cumple Completo",+IF(C8="N","NA")))))</f>
        <v/>
      </c>
      <c r="E8" s="39"/>
    </row>
    <row r="9" spans="1:12" ht="31">
      <c r="A9" s="6">
        <f>1+A8</f>
        <v>4</v>
      </c>
      <c r="B9" s="7" t="s">
        <v>739</v>
      </c>
      <c r="C9" s="6"/>
      <c r="D9" s="8" t="str">
        <f t="shared" ref="D9:D11" si="1">+IF(C9="","",+IF(C9=0,"No Cumple",+IF(C9=1,"Cumple Parcial",+IF(C9=2,"Cumple Completo",+IF(C9="N","NA")))))</f>
        <v/>
      </c>
      <c r="E9" s="39"/>
      <c r="H9"/>
      <c r="I9"/>
      <c r="J9"/>
      <c r="K9"/>
      <c r="L9"/>
    </row>
    <row r="10" spans="1:12" ht="31">
      <c r="A10" s="6">
        <f t="shared" ref="A10:A11" si="2">1+A9</f>
        <v>5</v>
      </c>
      <c r="B10" s="7" t="s">
        <v>740</v>
      </c>
      <c r="C10" s="6"/>
      <c r="D10" s="8" t="str">
        <f t="shared" si="1"/>
        <v/>
      </c>
      <c r="E10" s="39" t="s">
        <v>55</v>
      </c>
      <c r="H10"/>
      <c r="I10"/>
      <c r="J10"/>
      <c r="K10"/>
      <c r="L10"/>
    </row>
    <row r="11" spans="1:12" ht="248">
      <c r="A11" s="6">
        <f t="shared" si="2"/>
        <v>6</v>
      </c>
      <c r="B11" s="38" t="s">
        <v>801</v>
      </c>
      <c r="C11" s="6"/>
      <c r="D11" s="8" t="str">
        <f t="shared" si="1"/>
        <v/>
      </c>
      <c r="E11" s="39"/>
      <c r="H11"/>
      <c r="I11"/>
      <c r="J11"/>
      <c r="K11"/>
      <c r="L11"/>
    </row>
    <row r="12" spans="1:12" ht="30" customHeight="1" thickBot="1">
      <c r="A12" s="12"/>
      <c r="B12" s="13"/>
      <c r="C12" s="16">
        <f>SUM(C8:C11)</f>
        <v>0</v>
      </c>
      <c r="D12" s="16">
        <f>+COUNT(C8:C11)*2</f>
        <v>0</v>
      </c>
      <c r="E12" s="11" t="str">
        <f>+IF(C8="","",C12/D12)</f>
        <v/>
      </c>
      <c r="H12"/>
      <c r="I12"/>
      <c r="J12"/>
      <c r="K12"/>
      <c r="L12"/>
    </row>
    <row r="13" spans="1:12" ht="27" customHeight="1">
      <c r="A13" s="49" t="s">
        <v>19</v>
      </c>
      <c r="B13" s="50" t="s">
        <v>748</v>
      </c>
      <c r="H13"/>
      <c r="I13"/>
      <c r="J13"/>
      <c r="K13"/>
      <c r="L13"/>
    </row>
    <row r="14" spans="1:12" ht="31">
      <c r="A14" s="6">
        <f>1+A11</f>
        <v>7</v>
      </c>
      <c r="B14" s="7" t="s">
        <v>741</v>
      </c>
      <c r="C14" s="6"/>
      <c r="D14" s="8" t="str">
        <f t="shared" ref="D14:D20" si="3">+IF(C14="","",+IF(C14=0,"No Cumple",+IF(C14=1,"Cumple Parcial",+IF(C14=2,"Cumple Completo",+IF(C14="N","NA")))))</f>
        <v/>
      </c>
      <c r="E14" s="39"/>
      <c r="H14"/>
      <c r="I14"/>
      <c r="J14"/>
      <c r="K14"/>
      <c r="L14"/>
    </row>
    <row r="15" spans="1:12" ht="46.5">
      <c r="A15" s="6">
        <f>1+A14</f>
        <v>8</v>
      </c>
      <c r="B15" s="7" t="s">
        <v>742</v>
      </c>
      <c r="C15" s="19"/>
      <c r="D15" s="53" t="str">
        <f t="shared" si="3"/>
        <v/>
      </c>
      <c r="E15" s="39"/>
      <c r="H15"/>
      <c r="I15"/>
      <c r="J15"/>
      <c r="K15"/>
      <c r="L15"/>
    </row>
    <row r="16" spans="1:12">
      <c r="A16" s="6">
        <f>1+A15</f>
        <v>9</v>
      </c>
      <c r="B16" s="17" t="s">
        <v>743</v>
      </c>
      <c r="C16" s="54"/>
      <c r="D16" s="55" t="str">
        <f t="shared" si="3"/>
        <v/>
      </c>
      <c r="E16" s="52"/>
      <c r="H16"/>
      <c r="I16"/>
      <c r="J16"/>
      <c r="K16"/>
      <c r="L16"/>
    </row>
    <row r="17" spans="1:12" ht="31">
      <c r="A17" s="6">
        <f>1+A16</f>
        <v>10</v>
      </c>
      <c r="B17" s="17" t="s">
        <v>744</v>
      </c>
      <c r="C17" s="54"/>
      <c r="D17" s="55" t="str">
        <f t="shared" si="3"/>
        <v/>
      </c>
      <c r="E17" s="52"/>
      <c r="H17"/>
      <c r="I17"/>
      <c r="J17"/>
      <c r="K17"/>
      <c r="L17"/>
    </row>
    <row r="18" spans="1:12" ht="46.5">
      <c r="A18" s="6">
        <f t="shared" ref="A18:A20" si="4">1+A17</f>
        <v>11</v>
      </c>
      <c r="B18" s="17" t="s">
        <v>745</v>
      </c>
      <c r="C18" s="54"/>
      <c r="D18" s="55" t="str">
        <f t="shared" si="3"/>
        <v/>
      </c>
      <c r="E18" s="52"/>
      <c r="H18"/>
      <c r="I18"/>
      <c r="J18"/>
      <c r="K18"/>
      <c r="L18"/>
    </row>
    <row r="19" spans="1:12">
      <c r="A19" s="6">
        <f t="shared" si="4"/>
        <v>12</v>
      </c>
      <c r="B19" s="17" t="s">
        <v>746</v>
      </c>
      <c r="C19" s="54"/>
      <c r="D19" s="55" t="str">
        <f t="shared" si="3"/>
        <v/>
      </c>
      <c r="E19" s="52"/>
      <c r="H19"/>
      <c r="I19"/>
      <c r="J19"/>
      <c r="K19"/>
      <c r="L19"/>
    </row>
    <row r="20" spans="1:12" ht="93">
      <c r="A20" s="6">
        <f t="shared" si="4"/>
        <v>13</v>
      </c>
      <c r="B20" s="56" t="s">
        <v>747</v>
      </c>
      <c r="C20" s="54"/>
      <c r="D20" s="55" t="str">
        <f t="shared" si="3"/>
        <v/>
      </c>
      <c r="E20" s="52"/>
      <c r="H20"/>
      <c r="I20"/>
      <c r="J20"/>
      <c r="K20"/>
      <c r="L20"/>
    </row>
    <row r="21" spans="1:12" ht="25" customHeight="1" thickBot="1">
      <c r="A21" s="14"/>
      <c r="B21" s="15"/>
      <c r="C21" s="16">
        <f>SUM(C14:C16)</f>
        <v>0</v>
      </c>
      <c r="D21" s="16">
        <f>+COUNT(C14:C16)*2</f>
        <v>0</v>
      </c>
      <c r="E21" s="11" t="str">
        <f>+IF(C14="","",C21/D21)</f>
        <v/>
      </c>
      <c r="I21"/>
      <c r="J21"/>
      <c r="K21"/>
      <c r="L21"/>
    </row>
    <row r="22" spans="1:12" ht="25" customHeight="1">
      <c r="A22" s="49" t="s">
        <v>22</v>
      </c>
      <c r="B22" s="50" t="s">
        <v>749</v>
      </c>
      <c r="H22"/>
      <c r="I22"/>
      <c r="J22"/>
      <c r="K22"/>
      <c r="L22"/>
    </row>
    <row r="23" spans="1:12" ht="46.5">
      <c r="A23" s="6">
        <f>1+A20</f>
        <v>14</v>
      </c>
      <c r="B23" s="7" t="s">
        <v>750</v>
      </c>
      <c r="C23" s="19"/>
      <c r="D23" s="53" t="str">
        <f t="shared" ref="D23:D24" si="5">+IF(C23="","",+IF(C23=0,"No Cumple",+IF(C23=1,"Cumple Parcial",+IF(C23=2,"Cumple Completo",+IF(C23="N","NA")))))</f>
        <v/>
      </c>
      <c r="E23" s="39"/>
      <c r="H23"/>
      <c r="I23"/>
      <c r="J23"/>
      <c r="K23"/>
      <c r="L23"/>
    </row>
    <row r="24" spans="1:12" ht="108.5">
      <c r="A24" s="6">
        <f>1+A23</f>
        <v>15</v>
      </c>
      <c r="B24" s="56" t="s">
        <v>751</v>
      </c>
      <c r="C24" s="54"/>
      <c r="D24" s="55" t="str">
        <f t="shared" si="5"/>
        <v/>
      </c>
      <c r="E24" s="52"/>
      <c r="H24"/>
      <c r="I24"/>
      <c r="J24"/>
      <c r="K24"/>
      <c r="L24"/>
    </row>
    <row r="25" spans="1:12" ht="25" customHeight="1" thickBot="1">
      <c r="A25" s="14"/>
      <c r="B25" s="15"/>
      <c r="C25" s="16">
        <f>SUM(C23:C24)</f>
        <v>0</v>
      </c>
      <c r="D25" s="16">
        <f>+COUNT(C23:C24)*2</f>
        <v>0</v>
      </c>
      <c r="E25" s="11" t="str">
        <f>+IF(C23="","",C25/D25)</f>
        <v/>
      </c>
      <c r="G25" s="29" t="str">
        <f>+IF(E6="","",+AVERAGE(E6,E12,E25))</f>
        <v/>
      </c>
    </row>
    <row r="26" spans="1:12" ht="25" customHeight="1">
      <c r="A26" s="47">
        <v>5</v>
      </c>
      <c r="B26" s="48" t="s">
        <v>752</v>
      </c>
    </row>
    <row r="27" spans="1:12" ht="46.5">
      <c r="A27" s="49" t="s">
        <v>5</v>
      </c>
      <c r="B27" s="50" t="s">
        <v>753</v>
      </c>
    </row>
    <row r="28" spans="1:12" ht="62">
      <c r="A28" s="6">
        <f>1+A24</f>
        <v>16</v>
      </c>
      <c r="B28" s="7" t="s">
        <v>754</v>
      </c>
      <c r="C28" s="6"/>
      <c r="D28" s="8" t="str">
        <f t="shared" ref="D28:D41" si="6">+IF(C28="","",+IF(C28=0,"No Cumple",+IF(C28=1,"Cumple Parcial",+IF(C28=2,"Cumple Completo",+IF(C28="N","NA")))))</f>
        <v/>
      </c>
      <c r="E28" s="39"/>
    </row>
    <row r="29" spans="1:12" ht="46.5">
      <c r="A29" s="6">
        <f>1+A28</f>
        <v>17</v>
      </c>
      <c r="B29" s="7" t="s">
        <v>755</v>
      </c>
      <c r="C29" s="6"/>
      <c r="D29" s="8" t="str">
        <f t="shared" si="6"/>
        <v/>
      </c>
      <c r="E29" s="39"/>
    </row>
    <row r="30" spans="1:12" ht="31">
      <c r="A30" s="6">
        <f t="shared" ref="A30:A41" si="7">1+A29</f>
        <v>18</v>
      </c>
      <c r="B30" s="7" t="s">
        <v>756</v>
      </c>
      <c r="C30" s="6"/>
      <c r="D30" s="8" t="str">
        <f t="shared" si="6"/>
        <v/>
      </c>
      <c r="E30" s="39"/>
    </row>
    <row r="31" spans="1:12" ht="31">
      <c r="A31" s="6">
        <f t="shared" si="7"/>
        <v>19</v>
      </c>
      <c r="B31" s="7" t="s">
        <v>757</v>
      </c>
      <c r="C31" s="6"/>
      <c r="D31" s="8" t="str">
        <f t="shared" si="6"/>
        <v/>
      </c>
      <c r="E31" s="39" t="s">
        <v>55</v>
      </c>
    </row>
    <row r="32" spans="1:12" ht="31">
      <c r="A32" s="6">
        <f t="shared" si="7"/>
        <v>20</v>
      </c>
      <c r="B32" s="7" t="s">
        <v>758</v>
      </c>
      <c r="C32" s="6"/>
      <c r="D32" s="8" t="str">
        <f t="shared" si="6"/>
        <v/>
      </c>
      <c r="E32" s="39"/>
    </row>
    <row r="33" spans="1:5">
      <c r="A33" s="6">
        <f t="shared" si="7"/>
        <v>21</v>
      </c>
      <c r="B33" s="7" t="s">
        <v>759</v>
      </c>
      <c r="C33" s="6"/>
      <c r="D33" s="8" t="str">
        <f t="shared" si="6"/>
        <v/>
      </c>
      <c r="E33" s="39"/>
    </row>
    <row r="34" spans="1:5" ht="31">
      <c r="A34" s="6">
        <f t="shared" si="7"/>
        <v>22</v>
      </c>
      <c r="B34" s="7" t="s">
        <v>760</v>
      </c>
      <c r="C34" s="6"/>
      <c r="D34" s="8" t="str">
        <f t="shared" si="6"/>
        <v/>
      </c>
      <c r="E34" s="39" t="s">
        <v>55</v>
      </c>
    </row>
    <row r="35" spans="1:5">
      <c r="A35" s="6">
        <f t="shared" si="7"/>
        <v>23</v>
      </c>
      <c r="B35" s="7" t="s">
        <v>761</v>
      </c>
      <c r="C35" s="6"/>
      <c r="D35" s="8" t="str">
        <f t="shared" si="6"/>
        <v/>
      </c>
      <c r="E35" s="39"/>
    </row>
    <row r="36" spans="1:5" ht="31">
      <c r="A36" s="6">
        <f t="shared" si="7"/>
        <v>24</v>
      </c>
      <c r="B36" s="7" t="s">
        <v>762</v>
      </c>
      <c r="C36" s="6"/>
      <c r="D36" s="8" t="str">
        <f t="shared" si="6"/>
        <v/>
      </c>
      <c r="E36" s="39"/>
    </row>
    <row r="37" spans="1:5" ht="31">
      <c r="A37" s="6">
        <f t="shared" si="7"/>
        <v>25</v>
      </c>
      <c r="B37" s="7" t="s">
        <v>763</v>
      </c>
      <c r="C37" s="6"/>
      <c r="D37" s="8" t="str">
        <f t="shared" si="6"/>
        <v/>
      </c>
      <c r="E37" s="39"/>
    </row>
    <row r="38" spans="1:5" ht="31">
      <c r="A38" s="6">
        <f t="shared" si="7"/>
        <v>26</v>
      </c>
      <c r="B38" s="7" t="s">
        <v>764</v>
      </c>
      <c r="C38" s="6"/>
      <c r="D38" s="8" t="str">
        <f t="shared" si="6"/>
        <v/>
      </c>
      <c r="E38" s="39"/>
    </row>
    <row r="39" spans="1:5" ht="31">
      <c r="A39" s="6">
        <f t="shared" si="7"/>
        <v>27</v>
      </c>
      <c r="B39" s="7" t="s">
        <v>765</v>
      </c>
      <c r="C39" s="6"/>
      <c r="D39" s="8" t="str">
        <f t="shared" si="6"/>
        <v/>
      </c>
      <c r="E39" s="39"/>
    </row>
    <row r="40" spans="1:5" ht="31">
      <c r="A40" s="6">
        <f t="shared" si="7"/>
        <v>28</v>
      </c>
      <c r="B40" s="7" t="s">
        <v>766</v>
      </c>
      <c r="C40" s="19"/>
      <c r="D40" s="53" t="str">
        <f t="shared" si="6"/>
        <v/>
      </c>
      <c r="E40" s="39"/>
    </row>
    <row r="41" spans="1:5" ht="62">
      <c r="A41" s="6">
        <f t="shared" si="7"/>
        <v>29</v>
      </c>
      <c r="B41" s="17" t="s">
        <v>767</v>
      </c>
      <c r="C41" s="54"/>
      <c r="D41" s="55" t="str">
        <f t="shared" si="6"/>
        <v/>
      </c>
      <c r="E41" s="52"/>
    </row>
    <row r="42" spans="1:5" ht="25" customHeight="1" thickBot="1">
      <c r="A42" s="12"/>
      <c r="B42" s="13"/>
      <c r="C42" s="16">
        <f>SUM(C28:C41)</f>
        <v>0</v>
      </c>
      <c r="D42" s="16">
        <f>+COUNT(C28:C41)*2</f>
        <v>0</v>
      </c>
      <c r="E42" s="11" t="str">
        <f>+IF(C28="","",C42/D42)</f>
        <v/>
      </c>
    </row>
    <row r="43" spans="1:5" ht="25" customHeight="1">
      <c r="A43" s="49" t="s">
        <v>6</v>
      </c>
      <c r="B43" s="50" t="s">
        <v>768</v>
      </c>
    </row>
    <row r="44" spans="1:5" ht="108.5">
      <c r="A44" s="6">
        <f>1+A41</f>
        <v>30</v>
      </c>
      <c r="B44" s="7" t="s">
        <v>770</v>
      </c>
      <c r="C44" s="6"/>
      <c r="D44" s="8" t="str">
        <f t="shared" ref="D44:D51" si="8">+IF(C44="","",+IF(C44=0,"No Cumple",+IF(C44=1,"Cumple Parcial",+IF(C44=2,"Cumple Completo",+IF(C44="N","NA")))))</f>
        <v/>
      </c>
      <c r="E44" s="39"/>
    </row>
    <row r="45" spans="1:5" ht="31">
      <c r="A45" s="6">
        <f>1+A44</f>
        <v>31</v>
      </c>
      <c r="B45" s="7" t="s">
        <v>769</v>
      </c>
      <c r="C45" s="6"/>
      <c r="D45" s="8" t="str">
        <f t="shared" si="8"/>
        <v/>
      </c>
      <c r="E45" s="39"/>
    </row>
    <row r="46" spans="1:5">
      <c r="A46" s="6">
        <f t="shared" ref="A46:A51" si="9">1+A45</f>
        <v>32</v>
      </c>
      <c r="B46" s="7" t="s">
        <v>771</v>
      </c>
      <c r="C46" s="6"/>
      <c r="D46" s="8" t="str">
        <f t="shared" si="8"/>
        <v/>
      </c>
      <c r="E46" s="39" t="s">
        <v>55</v>
      </c>
    </row>
    <row r="47" spans="1:5" ht="31">
      <c r="A47" s="6">
        <f t="shared" si="9"/>
        <v>33</v>
      </c>
      <c r="B47" s="7" t="s">
        <v>772</v>
      </c>
      <c r="C47" s="19"/>
      <c r="D47" s="8" t="str">
        <f t="shared" si="8"/>
        <v/>
      </c>
      <c r="E47" s="39"/>
    </row>
    <row r="48" spans="1:5">
      <c r="A48" s="6">
        <f t="shared" si="9"/>
        <v>34</v>
      </c>
      <c r="B48" s="7" t="s">
        <v>774</v>
      </c>
      <c r="C48" s="19"/>
      <c r="D48" s="8" t="str">
        <f t="shared" si="8"/>
        <v/>
      </c>
      <c r="E48" s="39"/>
    </row>
    <row r="49" spans="1:5" ht="31">
      <c r="A49" s="6">
        <f t="shared" si="9"/>
        <v>35</v>
      </c>
      <c r="B49" s="7" t="s">
        <v>773</v>
      </c>
      <c r="C49" s="19"/>
      <c r="D49" s="8" t="str">
        <f t="shared" si="8"/>
        <v/>
      </c>
      <c r="E49" s="39"/>
    </row>
    <row r="50" spans="1:5" ht="77.5">
      <c r="A50" s="6">
        <f t="shared" si="9"/>
        <v>36</v>
      </c>
      <c r="B50" s="7" t="s">
        <v>775</v>
      </c>
      <c r="C50" s="19"/>
      <c r="D50" s="8" t="str">
        <f t="shared" si="8"/>
        <v/>
      </c>
      <c r="E50" s="39"/>
    </row>
    <row r="51" spans="1:5" ht="155">
      <c r="A51" s="6">
        <f t="shared" si="9"/>
        <v>37</v>
      </c>
      <c r="B51" s="56" t="s">
        <v>776</v>
      </c>
      <c r="C51" s="54"/>
      <c r="D51" s="55" t="str">
        <f t="shared" si="8"/>
        <v/>
      </c>
      <c r="E51" s="52"/>
    </row>
    <row r="52" spans="1:5" ht="25" customHeight="1" thickBot="1">
      <c r="A52" s="14"/>
      <c r="B52" s="15"/>
      <c r="C52" s="16">
        <f>SUM(C44:C51)</f>
        <v>0</v>
      </c>
      <c r="D52" s="16">
        <f>+COUNT(C44:C51)*2</f>
        <v>0</v>
      </c>
      <c r="E52" s="11" t="str">
        <f>+IF(C44="","",C52/D52)</f>
        <v/>
      </c>
    </row>
    <row r="53" spans="1:5" ht="25" customHeight="1">
      <c r="A53" s="49" t="s">
        <v>8</v>
      </c>
      <c r="B53" s="50" t="s">
        <v>778</v>
      </c>
    </row>
    <row r="54" spans="1:5" ht="93">
      <c r="A54" s="6">
        <f>1+A51</f>
        <v>38</v>
      </c>
      <c r="B54" s="7" t="s">
        <v>779</v>
      </c>
      <c r="C54" s="6"/>
      <c r="D54" s="8" t="str">
        <f t="shared" ref="D54:D58" si="10">+IF(C54="","",+IF(C54=0,"No Cumple",+IF(C54=1,"Cumple Parcial",+IF(C54=2,"Cumple Completo",+IF(C54="N","NA")))))</f>
        <v/>
      </c>
      <c r="E54" s="39"/>
    </row>
    <row r="55" spans="1:5" ht="46.5">
      <c r="A55" s="6">
        <f>1+A54</f>
        <v>39</v>
      </c>
      <c r="B55" s="7" t="s">
        <v>780</v>
      </c>
      <c r="C55" s="6"/>
      <c r="D55" s="8" t="str">
        <f t="shared" si="10"/>
        <v/>
      </c>
      <c r="E55" s="39"/>
    </row>
    <row r="56" spans="1:5">
      <c r="A56" s="6">
        <f t="shared" ref="A56:A58" si="11">1+A55</f>
        <v>40</v>
      </c>
      <c r="B56" s="7" t="s">
        <v>781</v>
      </c>
      <c r="C56" s="6"/>
      <c r="D56" s="8" t="str">
        <f t="shared" si="10"/>
        <v/>
      </c>
      <c r="E56" s="39"/>
    </row>
    <row r="57" spans="1:5" ht="46.5">
      <c r="A57" s="6">
        <f t="shared" si="11"/>
        <v>41</v>
      </c>
      <c r="B57" s="57" t="s">
        <v>782</v>
      </c>
      <c r="C57" s="6"/>
      <c r="D57" s="8" t="str">
        <f t="shared" si="10"/>
        <v/>
      </c>
      <c r="E57" s="39"/>
    </row>
    <row r="58" spans="1:5" ht="139.5">
      <c r="A58" s="6">
        <f t="shared" si="11"/>
        <v>42</v>
      </c>
      <c r="B58" s="56" t="s">
        <v>1017</v>
      </c>
      <c r="C58" s="54"/>
      <c r="D58" s="55" t="str">
        <f t="shared" si="10"/>
        <v/>
      </c>
      <c r="E58" s="52" t="s">
        <v>55</v>
      </c>
    </row>
    <row r="59" spans="1:5" ht="26.15" customHeight="1" thickBot="1">
      <c r="A59" s="14"/>
      <c r="B59" s="15"/>
      <c r="C59" s="16">
        <f>SUM(C54:C58)</f>
        <v>0</v>
      </c>
      <c r="D59" s="16">
        <f>+COUNT(C54:C58)*2</f>
        <v>0</v>
      </c>
      <c r="E59" s="11" t="str">
        <f>+IF(C54="","",C59/D59)</f>
        <v/>
      </c>
    </row>
    <row r="60" spans="1:5" ht="26.15" customHeight="1">
      <c r="A60" s="49" t="s">
        <v>783</v>
      </c>
      <c r="B60" s="50" t="s">
        <v>784</v>
      </c>
    </row>
    <row r="61" spans="1:5" ht="77.5">
      <c r="A61" s="6">
        <f>1+A58</f>
        <v>43</v>
      </c>
      <c r="B61" s="7" t="s">
        <v>785</v>
      </c>
      <c r="C61" s="6"/>
      <c r="D61" s="8" t="str">
        <f t="shared" ref="D61:D71" si="12">+IF(C61="","",+IF(C61=0,"No Cumple",+IF(C61=1,"Cumple Parcial",+IF(C61=2,"Cumple Completo",+IF(C61="N","NA")))))</f>
        <v/>
      </c>
      <c r="E61" s="39"/>
    </row>
    <row r="62" spans="1:5" ht="46.5">
      <c r="A62" s="6">
        <f>1+A61</f>
        <v>44</v>
      </c>
      <c r="B62" s="7" t="s">
        <v>787</v>
      </c>
      <c r="C62" s="19"/>
      <c r="D62" s="8" t="str">
        <f t="shared" si="12"/>
        <v/>
      </c>
      <c r="E62" s="39" t="s">
        <v>55</v>
      </c>
    </row>
    <row r="63" spans="1:5" ht="31">
      <c r="A63" s="6">
        <f t="shared" ref="A63:A64" si="13">1+A62</f>
        <v>45</v>
      </c>
      <c r="B63" s="57" t="s">
        <v>789</v>
      </c>
      <c r="C63" s="19"/>
      <c r="D63" s="8"/>
      <c r="E63" s="39"/>
    </row>
    <row r="64" spans="1:5" ht="31">
      <c r="A64" s="6">
        <f t="shared" si="13"/>
        <v>46</v>
      </c>
      <c r="B64" s="7" t="s">
        <v>786</v>
      </c>
      <c r="C64" s="19"/>
      <c r="D64" s="8" t="str">
        <f t="shared" si="12"/>
        <v/>
      </c>
      <c r="E64" s="39"/>
    </row>
    <row r="65" spans="1:7" ht="31">
      <c r="A65" s="6">
        <f t="shared" ref="A65:A71" si="14">1+A64</f>
        <v>47</v>
      </c>
      <c r="B65" s="7" t="s">
        <v>788</v>
      </c>
      <c r="C65" s="19"/>
      <c r="D65" s="8" t="str">
        <f t="shared" si="12"/>
        <v/>
      </c>
      <c r="E65" s="39"/>
    </row>
    <row r="66" spans="1:7" ht="62">
      <c r="A66" s="6">
        <f t="shared" si="14"/>
        <v>48</v>
      </c>
      <c r="B66" s="57" t="s">
        <v>790</v>
      </c>
      <c r="C66" s="19"/>
      <c r="D66" s="8" t="str">
        <f t="shared" si="12"/>
        <v/>
      </c>
      <c r="E66" s="39"/>
    </row>
    <row r="67" spans="1:7" ht="263.5">
      <c r="A67" s="6">
        <f t="shared" si="14"/>
        <v>49</v>
      </c>
      <c r="B67" s="7" t="s">
        <v>791</v>
      </c>
      <c r="C67" s="19"/>
      <c r="D67" s="8" t="str">
        <f t="shared" si="12"/>
        <v/>
      </c>
      <c r="E67" s="39"/>
    </row>
    <row r="68" spans="1:7" ht="232.5">
      <c r="A68" s="6">
        <f t="shared" si="14"/>
        <v>50</v>
      </c>
      <c r="B68" s="7" t="s">
        <v>792</v>
      </c>
      <c r="C68" s="19"/>
      <c r="D68" s="8" t="str">
        <f t="shared" si="12"/>
        <v/>
      </c>
      <c r="E68" s="39"/>
    </row>
    <row r="69" spans="1:7" ht="62">
      <c r="A69" s="6">
        <f t="shared" si="14"/>
        <v>51</v>
      </c>
      <c r="B69" s="57" t="s">
        <v>793</v>
      </c>
      <c r="C69" s="19"/>
      <c r="D69" s="8" t="str">
        <f t="shared" si="12"/>
        <v/>
      </c>
      <c r="E69" s="39"/>
    </row>
    <row r="70" spans="1:7" ht="62">
      <c r="A70" s="6">
        <f t="shared" si="14"/>
        <v>52</v>
      </c>
      <c r="B70" s="57" t="s">
        <v>794</v>
      </c>
      <c r="C70" s="19"/>
      <c r="D70" s="53" t="str">
        <f t="shared" si="12"/>
        <v/>
      </c>
      <c r="E70" s="39"/>
    </row>
    <row r="71" spans="1:7" ht="77.5">
      <c r="A71" s="6">
        <f t="shared" si="14"/>
        <v>53</v>
      </c>
      <c r="B71" s="56" t="s">
        <v>1018</v>
      </c>
      <c r="C71" s="54"/>
      <c r="D71" s="55" t="str">
        <f t="shared" si="12"/>
        <v/>
      </c>
      <c r="E71" s="52"/>
    </row>
    <row r="72" spans="1:7" ht="26.15" customHeight="1" thickBot="1">
      <c r="A72" s="14"/>
      <c r="B72" s="15"/>
      <c r="C72" s="16">
        <f>SUM(C61:C71)</f>
        <v>0</v>
      </c>
      <c r="D72" s="16">
        <f>+COUNT(C61:C71)*2</f>
        <v>0</v>
      </c>
      <c r="E72" s="11" t="str">
        <f>+IF(C61="","",C72/D72)</f>
        <v/>
      </c>
      <c r="G72" s="29" t="str">
        <f>+IF(E42="","",+AVERAGE(E42,E52,E59,E72))</f>
        <v/>
      </c>
    </row>
    <row r="73" spans="1:7" ht="25" customHeight="1">
      <c r="A73" s="47">
        <v>6</v>
      </c>
      <c r="B73" s="48" t="s">
        <v>20</v>
      </c>
    </row>
    <row r="74" spans="1:7" ht="26.15" customHeight="1">
      <c r="A74" s="49" t="s">
        <v>11</v>
      </c>
      <c r="B74" s="50" t="s">
        <v>119</v>
      </c>
    </row>
    <row r="75" spans="1:7" ht="26.15" customHeight="1">
      <c r="A75" s="49" t="s">
        <v>120</v>
      </c>
      <c r="B75" s="50" t="s">
        <v>10</v>
      </c>
    </row>
    <row r="76" spans="1:7" ht="77.5">
      <c r="A76" s="6">
        <f>1+A71</f>
        <v>54</v>
      </c>
      <c r="B76" s="7" t="s">
        <v>795</v>
      </c>
      <c r="C76" s="6"/>
      <c r="D76" s="8" t="str">
        <f t="shared" ref="D76:D83" si="15">+IF(C76="","",+IF(C76=0,"No Cumple",+IF(C76=1,"Cumple Parcial",+IF(C76=2,"Cumple Completo",+IF(C76="N","NA")))))</f>
        <v/>
      </c>
      <c r="E76" s="39"/>
    </row>
    <row r="77" spans="1:7">
      <c r="A77" s="6">
        <f t="shared" ref="A77:A83" si="16">1+A76</f>
        <v>55</v>
      </c>
      <c r="B77" s="7" t="s">
        <v>796</v>
      </c>
      <c r="C77" s="19"/>
      <c r="D77" s="53" t="str">
        <f t="shared" si="15"/>
        <v/>
      </c>
      <c r="E77" s="39"/>
    </row>
    <row r="78" spans="1:7">
      <c r="A78" s="6">
        <f t="shared" si="16"/>
        <v>56</v>
      </c>
      <c r="B78" s="17" t="s">
        <v>797</v>
      </c>
      <c r="C78" s="54"/>
      <c r="D78" s="55" t="str">
        <f t="shared" si="15"/>
        <v/>
      </c>
      <c r="E78" s="52"/>
    </row>
    <row r="79" spans="1:7">
      <c r="A79" s="6">
        <f t="shared" si="16"/>
        <v>57</v>
      </c>
      <c r="B79" s="17" t="s">
        <v>798</v>
      </c>
      <c r="C79" s="54"/>
      <c r="D79" s="55" t="str">
        <f t="shared" si="15"/>
        <v/>
      </c>
      <c r="E79" s="52"/>
    </row>
    <row r="80" spans="1:7" ht="93">
      <c r="A80" s="6">
        <f t="shared" si="16"/>
        <v>58</v>
      </c>
      <c r="B80" s="17" t="s">
        <v>799</v>
      </c>
      <c r="C80" s="54"/>
      <c r="D80" s="55" t="str">
        <f t="shared" si="15"/>
        <v/>
      </c>
      <c r="E80" s="52"/>
    </row>
    <row r="81" spans="1:5" ht="93">
      <c r="A81" s="6">
        <f t="shared" si="16"/>
        <v>59</v>
      </c>
      <c r="B81" s="17" t="s">
        <v>1019</v>
      </c>
      <c r="C81" s="54"/>
      <c r="D81" s="55" t="str">
        <f t="shared" si="15"/>
        <v/>
      </c>
      <c r="E81" s="52"/>
    </row>
    <row r="82" spans="1:5" ht="77.5">
      <c r="A82" s="6">
        <f t="shared" si="16"/>
        <v>60</v>
      </c>
      <c r="B82" s="17" t="s">
        <v>802</v>
      </c>
      <c r="C82" s="54"/>
      <c r="D82" s="55" t="str">
        <f t="shared" si="15"/>
        <v/>
      </c>
      <c r="E82" s="52"/>
    </row>
    <row r="83" spans="1:5" ht="77.5">
      <c r="A83" s="6">
        <f t="shared" si="16"/>
        <v>61</v>
      </c>
      <c r="B83" s="56" t="s">
        <v>800</v>
      </c>
      <c r="C83" s="54"/>
      <c r="D83" s="55" t="str">
        <f t="shared" si="15"/>
        <v/>
      </c>
      <c r="E83" s="52"/>
    </row>
    <row r="84" spans="1:5" ht="26.15" customHeight="1" thickBot="1">
      <c r="A84" s="12"/>
      <c r="B84" s="13"/>
      <c r="C84" s="16">
        <f>SUM(C76:C78)</f>
        <v>0</v>
      </c>
      <c r="D84" s="16">
        <f>+COUNT(C76:C78)*2</f>
        <v>0</v>
      </c>
      <c r="E84" s="11" t="str">
        <f>+IF(C76="","",C84/D84)</f>
        <v/>
      </c>
    </row>
    <row r="85" spans="1:5" ht="26.15" customHeight="1">
      <c r="A85" s="49" t="s">
        <v>127</v>
      </c>
      <c r="B85" s="50" t="s">
        <v>803</v>
      </c>
    </row>
    <row r="86" spans="1:5" ht="26.15" customHeight="1">
      <c r="A86" s="49" t="s">
        <v>804</v>
      </c>
      <c r="B86" s="50" t="s">
        <v>805</v>
      </c>
    </row>
    <row r="87" spans="1:5" ht="46.5">
      <c r="A87" s="6">
        <f>1+A83</f>
        <v>62</v>
      </c>
      <c r="B87" s="17" t="s">
        <v>806</v>
      </c>
      <c r="C87" s="54"/>
      <c r="D87" s="55" t="str">
        <f t="shared" ref="D87:D96" si="17">+IF(C87="","",+IF(C87=0,"No Cumple",+IF(C87=1,"Cumple Parcial",+IF(C87=2,"Cumple Completo",+IF(C87="N","NA")))))</f>
        <v/>
      </c>
      <c r="E87" s="52"/>
    </row>
    <row r="88" spans="1:5" ht="46.5">
      <c r="A88" s="6">
        <f>1+A87</f>
        <v>63</v>
      </c>
      <c r="B88" s="17" t="s">
        <v>807</v>
      </c>
      <c r="C88" s="54"/>
      <c r="D88" s="55" t="str">
        <f t="shared" si="17"/>
        <v/>
      </c>
      <c r="E88" s="52"/>
    </row>
    <row r="89" spans="1:5" ht="139.5">
      <c r="A89" s="6">
        <f t="shared" ref="A89:A96" si="18">1+A88</f>
        <v>64</v>
      </c>
      <c r="B89" s="17" t="s">
        <v>808</v>
      </c>
      <c r="C89" s="54"/>
      <c r="D89" s="55" t="str">
        <f t="shared" si="17"/>
        <v/>
      </c>
      <c r="E89" s="52"/>
    </row>
    <row r="90" spans="1:5" ht="31">
      <c r="A90" s="6">
        <f t="shared" si="18"/>
        <v>65</v>
      </c>
      <c r="B90" s="17" t="s">
        <v>809</v>
      </c>
      <c r="C90" s="54"/>
      <c r="D90" s="55" t="str">
        <f t="shared" si="17"/>
        <v/>
      </c>
      <c r="E90" s="52"/>
    </row>
    <row r="91" spans="1:5">
      <c r="A91" s="6">
        <f t="shared" si="18"/>
        <v>66</v>
      </c>
      <c r="B91" s="17" t="s">
        <v>810</v>
      </c>
      <c r="C91" s="54"/>
      <c r="D91" s="55" t="str">
        <f t="shared" si="17"/>
        <v/>
      </c>
      <c r="E91" s="52"/>
    </row>
    <row r="92" spans="1:5" ht="108.5">
      <c r="A92" s="6">
        <f t="shared" si="18"/>
        <v>67</v>
      </c>
      <c r="B92" s="17" t="s">
        <v>811</v>
      </c>
      <c r="C92" s="54"/>
      <c r="D92" s="55" t="str">
        <f t="shared" si="17"/>
        <v/>
      </c>
      <c r="E92" s="52"/>
    </row>
    <row r="93" spans="1:5" ht="170.5">
      <c r="A93" s="6">
        <f t="shared" si="18"/>
        <v>68</v>
      </c>
      <c r="B93" s="17" t="s">
        <v>812</v>
      </c>
      <c r="C93" s="54"/>
      <c r="D93" s="55" t="str">
        <f t="shared" si="17"/>
        <v/>
      </c>
      <c r="E93" s="52"/>
    </row>
    <row r="94" spans="1:5" ht="31">
      <c r="A94" s="6">
        <f t="shared" si="18"/>
        <v>69</v>
      </c>
      <c r="B94" s="17" t="s">
        <v>813</v>
      </c>
      <c r="C94" s="54"/>
      <c r="D94" s="55" t="str">
        <f t="shared" si="17"/>
        <v/>
      </c>
      <c r="E94" s="52"/>
    </row>
    <row r="95" spans="1:5">
      <c r="A95" s="6">
        <f t="shared" si="18"/>
        <v>70</v>
      </c>
      <c r="B95" s="17" t="s">
        <v>814</v>
      </c>
      <c r="C95" s="54"/>
      <c r="D95" s="55" t="str">
        <f t="shared" si="17"/>
        <v/>
      </c>
      <c r="E95" s="52"/>
    </row>
    <row r="96" spans="1:5" ht="263.5">
      <c r="A96" s="6">
        <f t="shared" si="18"/>
        <v>71</v>
      </c>
      <c r="B96" s="56" t="s">
        <v>815</v>
      </c>
      <c r="C96" s="54"/>
      <c r="D96" s="55" t="str">
        <f t="shared" si="17"/>
        <v/>
      </c>
      <c r="E96" s="52"/>
    </row>
    <row r="97" spans="1:7" ht="26.15" customHeight="1" thickBot="1">
      <c r="A97" s="14"/>
      <c r="B97" s="15"/>
      <c r="C97" s="16">
        <f>SUM(C87:C96)</f>
        <v>0</v>
      </c>
      <c r="D97" s="16">
        <f>+COUNT(C87:C96)*2</f>
        <v>0</v>
      </c>
      <c r="E97" s="11" t="str">
        <f>+IF(C87="","",C97/D97)</f>
        <v/>
      </c>
    </row>
    <row r="98" spans="1:7" ht="26.15" customHeight="1">
      <c r="A98" s="49" t="s">
        <v>816</v>
      </c>
      <c r="B98" s="50" t="s">
        <v>817</v>
      </c>
    </row>
    <row r="99" spans="1:7" ht="46.5">
      <c r="A99" s="6">
        <f>1+A96</f>
        <v>72</v>
      </c>
      <c r="B99" s="7" t="s">
        <v>818</v>
      </c>
      <c r="C99" s="6"/>
      <c r="D99" s="8" t="str">
        <f t="shared" ref="D99:D102" si="19">+IF(C99="","",+IF(C99=0,"No Cumple",+IF(C99=1,"Cumple Parcial",+IF(C99=2,"Cumple Completo",+IF(C99="N","NA")))))</f>
        <v/>
      </c>
      <c r="E99" s="39"/>
    </row>
    <row r="100" spans="1:7" ht="31">
      <c r="A100" s="6"/>
      <c r="B100" s="7" t="s">
        <v>819</v>
      </c>
      <c r="C100" s="6"/>
      <c r="D100" s="8" t="str">
        <f t="shared" si="19"/>
        <v/>
      </c>
      <c r="E100" s="39"/>
    </row>
    <row r="101" spans="1:7" ht="77.5">
      <c r="A101" s="6">
        <f>1+A99</f>
        <v>73</v>
      </c>
      <c r="B101" s="7" t="s">
        <v>820</v>
      </c>
      <c r="C101" s="6"/>
      <c r="D101" s="8" t="str">
        <f t="shared" si="19"/>
        <v/>
      </c>
      <c r="E101" s="39"/>
    </row>
    <row r="102" spans="1:7" ht="201.5">
      <c r="A102" s="6">
        <f>1+A101</f>
        <v>74</v>
      </c>
      <c r="B102" s="56" t="s">
        <v>821</v>
      </c>
      <c r="C102" s="54"/>
      <c r="D102" s="58" t="str">
        <f t="shared" si="19"/>
        <v/>
      </c>
      <c r="E102" s="39"/>
    </row>
    <row r="103" spans="1:7" ht="27" customHeight="1" thickBot="1">
      <c r="A103" s="14"/>
      <c r="B103" s="15"/>
      <c r="C103" s="16">
        <f>SUM(C99:C102)</f>
        <v>0</v>
      </c>
      <c r="D103" s="16">
        <f>+COUNT(C99:C102)*2</f>
        <v>0</v>
      </c>
      <c r="E103" s="11" t="str">
        <f>+IF(C99="","",C103/D103)</f>
        <v/>
      </c>
    </row>
    <row r="104" spans="1:7" ht="31">
      <c r="A104" s="49" t="s">
        <v>822</v>
      </c>
      <c r="B104" s="50" t="s">
        <v>823</v>
      </c>
    </row>
    <row r="105" spans="1:7" ht="124">
      <c r="A105" s="6">
        <f>1+A102</f>
        <v>75</v>
      </c>
      <c r="B105" s="7" t="s">
        <v>824</v>
      </c>
      <c r="C105" s="6"/>
      <c r="D105" s="8" t="str">
        <f t="shared" ref="D105:D108" si="20">+IF(C105="","",+IF(C105=0,"No Cumple",+IF(C105=1,"Cumple Parcial",+IF(C105=2,"Cumple Completo",+IF(C105="N","NA")))))</f>
        <v/>
      </c>
      <c r="E105" s="39"/>
    </row>
    <row r="106" spans="1:7">
      <c r="A106" s="6">
        <f>1+A105</f>
        <v>76</v>
      </c>
      <c r="B106" s="7" t="s">
        <v>825</v>
      </c>
      <c r="C106" s="19"/>
      <c r="D106" s="53" t="str">
        <f t="shared" si="20"/>
        <v/>
      </c>
      <c r="E106" s="46"/>
    </row>
    <row r="107" spans="1:7" ht="31">
      <c r="A107" s="6"/>
      <c r="B107" s="59" t="s">
        <v>826</v>
      </c>
      <c r="C107" s="54"/>
      <c r="D107" s="53" t="str">
        <f t="shared" si="20"/>
        <v/>
      </c>
      <c r="E107" s="60"/>
    </row>
    <row r="108" spans="1:7" ht="46.5">
      <c r="A108" s="6">
        <f>1+A106</f>
        <v>77</v>
      </c>
      <c r="B108" s="56" t="s">
        <v>827</v>
      </c>
      <c r="C108" s="54"/>
      <c r="D108" s="55" t="str">
        <f t="shared" si="20"/>
        <v/>
      </c>
      <c r="E108" s="60"/>
    </row>
    <row r="109" spans="1:7" ht="25" customHeight="1" thickBot="1">
      <c r="A109" s="14"/>
      <c r="B109" s="15"/>
      <c r="C109" s="16">
        <f>SUM(C105:C108)</f>
        <v>0</v>
      </c>
      <c r="D109" s="16">
        <f>+COUNT(C105:C108)*2</f>
        <v>0</v>
      </c>
      <c r="E109" s="40" t="str">
        <f>+IF(C105="","",C109/D109)</f>
        <v/>
      </c>
      <c r="G109"/>
    </row>
    <row r="110" spans="1:7" ht="25" customHeight="1">
      <c r="A110" s="49" t="s">
        <v>608</v>
      </c>
      <c r="B110" s="50" t="s">
        <v>828</v>
      </c>
    </row>
    <row r="111" spans="1:7" ht="62">
      <c r="A111" s="6">
        <f>1+A108</f>
        <v>78</v>
      </c>
      <c r="B111" s="7" t="s">
        <v>829</v>
      </c>
      <c r="C111" s="6"/>
      <c r="D111" s="8" t="str">
        <f t="shared" ref="D111:D114" si="21">+IF(C111="","",+IF(C111=0,"No Cumple",+IF(C111=1,"Cumple Parcial",+IF(C111=2,"Cumple Completo",+IF(C111="N","NA")))))</f>
        <v/>
      </c>
      <c r="E111" s="39"/>
    </row>
    <row r="112" spans="1:7" ht="31">
      <c r="A112" s="6"/>
      <c r="B112" s="7" t="s">
        <v>830</v>
      </c>
      <c r="C112" s="6"/>
      <c r="D112" s="8"/>
      <c r="E112" s="39"/>
    </row>
    <row r="113" spans="1:5" ht="31">
      <c r="A113" s="6">
        <f>1+A111</f>
        <v>79</v>
      </c>
      <c r="B113" s="7" t="s">
        <v>831</v>
      </c>
      <c r="C113" s="6"/>
      <c r="D113" s="8" t="str">
        <f t="shared" si="21"/>
        <v/>
      </c>
      <c r="E113" s="39"/>
    </row>
    <row r="114" spans="1:5" ht="46.5">
      <c r="A114" s="6">
        <f t="shared" ref="A114:A116" si="22">1+A113</f>
        <v>80</v>
      </c>
      <c r="B114" s="7" t="s">
        <v>832</v>
      </c>
      <c r="C114" s="6"/>
      <c r="D114" s="8" t="str">
        <f t="shared" si="21"/>
        <v/>
      </c>
      <c r="E114" s="39"/>
    </row>
    <row r="115" spans="1:5" ht="31">
      <c r="A115" s="6">
        <f t="shared" si="22"/>
        <v>81</v>
      </c>
      <c r="B115" s="31" t="s">
        <v>833</v>
      </c>
      <c r="C115" s="19"/>
      <c r="D115" s="8" t="str">
        <f t="shared" ref="D115:D116" si="23">+IF(C115="","",+IF(C115=0,"No Cumple",+IF(C115=1,"Cumple Parcial",+IF(C115=2,"Cumple Completo",+IF(C115="N","NA")))))</f>
        <v/>
      </c>
      <c r="E115" s="39"/>
    </row>
    <row r="116" spans="1:5" ht="108.5">
      <c r="A116" s="6">
        <f t="shared" si="22"/>
        <v>82</v>
      </c>
      <c r="B116" s="61" t="s">
        <v>834</v>
      </c>
      <c r="C116" s="6"/>
      <c r="D116" s="8" t="str">
        <f t="shared" si="23"/>
        <v/>
      </c>
      <c r="E116" s="39"/>
    </row>
    <row r="117" spans="1:5" ht="28" customHeight="1" thickBot="1">
      <c r="A117" s="14"/>
      <c r="B117" s="15"/>
      <c r="C117" s="16">
        <f>SUM(C111:C116)</f>
        <v>0</v>
      </c>
      <c r="D117" s="16">
        <f>+COUNT(C111:C116)*2</f>
        <v>0</v>
      </c>
      <c r="E117" s="11" t="str">
        <f>+IF(C111="","",C117/D117)</f>
        <v/>
      </c>
    </row>
    <row r="118" spans="1:5" ht="25" customHeight="1">
      <c r="A118" s="49" t="s">
        <v>835</v>
      </c>
      <c r="B118" s="50" t="s">
        <v>836</v>
      </c>
    </row>
    <row r="119" spans="1:5" ht="77.5">
      <c r="A119" s="6">
        <f>1+A116</f>
        <v>83</v>
      </c>
      <c r="B119" s="7" t="s">
        <v>837</v>
      </c>
      <c r="C119" s="19"/>
      <c r="D119" s="8" t="str">
        <f t="shared" ref="D119:D123" si="24">+IF(C119="","",+IF(C119=0,"No Cumple",+IF(C119=1,"Cumple Parcial",+IF(C119=2,"Cumple Completo",+IF(C119="N","NA")))))</f>
        <v/>
      </c>
      <c r="E119" s="39"/>
    </row>
    <row r="120" spans="1:5" ht="62">
      <c r="A120" s="6">
        <f>1+A119</f>
        <v>84</v>
      </c>
      <c r="B120" s="7" t="s">
        <v>838</v>
      </c>
      <c r="C120" s="19"/>
      <c r="D120" s="8" t="str">
        <f t="shared" si="24"/>
        <v/>
      </c>
      <c r="E120" s="39"/>
    </row>
    <row r="121" spans="1:5" ht="31">
      <c r="A121" s="6">
        <f>1+A120</f>
        <v>85</v>
      </c>
      <c r="B121" s="7" t="s">
        <v>839</v>
      </c>
      <c r="C121" s="19"/>
      <c r="D121" s="8" t="str">
        <f t="shared" si="24"/>
        <v/>
      </c>
      <c r="E121" s="39"/>
    </row>
    <row r="122" spans="1:5" ht="46.5">
      <c r="A122" s="6">
        <f>1+A121</f>
        <v>86</v>
      </c>
      <c r="B122" s="7" t="s">
        <v>840</v>
      </c>
      <c r="C122" s="19"/>
      <c r="D122" s="53" t="str">
        <f t="shared" si="24"/>
        <v/>
      </c>
      <c r="E122" s="39"/>
    </row>
    <row r="123" spans="1:5" ht="108.5">
      <c r="A123" s="6">
        <f>1+A122</f>
        <v>87</v>
      </c>
      <c r="B123" s="56" t="s">
        <v>841</v>
      </c>
      <c r="C123" s="54"/>
      <c r="D123" s="55" t="str">
        <f t="shared" si="24"/>
        <v/>
      </c>
      <c r="E123" s="52"/>
    </row>
    <row r="124" spans="1:5" ht="26.15" customHeight="1" thickBot="1">
      <c r="A124" s="12"/>
      <c r="B124" s="18"/>
      <c r="C124" s="16">
        <f>SUM(C119:C123)</f>
        <v>0</v>
      </c>
      <c r="D124" s="16">
        <f>+COUNT(C119:C123)*2</f>
        <v>0</v>
      </c>
      <c r="E124" s="11" t="str">
        <f>+IF(C119="","",C124/D124)</f>
        <v/>
      </c>
    </row>
    <row r="125" spans="1:5" ht="26.15" customHeight="1">
      <c r="A125" s="49" t="s">
        <v>13</v>
      </c>
      <c r="B125" s="50" t="s">
        <v>842</v>
      </c>
    </row>
    <row r="126" spans="1:5" ht="26.15" customHeight="1">
      <c r="A126" s="49" t="s">
        <v>12</v>
      </c>
      <c r="B126" s="50" t="s">
        <v>843</v>
      </c>
    </row>
    <row r="127" spans="1:5" ht="46.5">
      <c r="A127" s="6">
        <f>1+A123</f>
        <v>88</v>
      </c>
      <c r="B127" s="7" t="s">
        <v>844</v>
      </c>
      <c r="C127" s="6"/>
      <c r="D127" s="8" t="str">
        <f t="shared" ref="D127:D134" si="25">+IF(C127="","",+IF(C127=0,"No Cumple",+IF(C127=1,"Cumple Parcial",+IF(C127=2,"Cumple Completo",+IF(C127="N","NA")))))</f>
        <v/>
      </c>
      <c r="E127" s="39"/>
    </row>
    <row r="128" spans="1:5" ht="31">
      <c r="A128" s="6">
        <f>1+A127</f>
        <v>89</v>
      </c>
      <c r="B128" s="7" t="s">
        <v>845</v>
      </c>
      <c r="C128" s="19"/>
      <c r="D128" s="8" t="str">
        <f t="shared" si="25"/>
        <v/>
      </c>
      <c r="E128" s="39"/>
    </row>
    <row r="129" spans="1:5">
      <c r="A129" s="6">
        <f>1+A128</f>
        <v>90</v>
      </c>
      <c r="B129" s="7" t="s">
        <v>846</v>
      </c>
      <c r="C129" s="19"/>
      <c r="D129" s="8" t="str">
        <f t="shared" si="25"/>
        <v/>
      </c>
      <c r="E129" s="39"/>
    </row>
    <row r="130" spans="1:5" ht="93">
      <c r="A130" s="6">
        <f t="shared" ref="A130:A133" si="26">1+A129</f>
        <v>91</v>
      </c>
      <c r="B130" s="7" t="s">
        <v>847</v>
      </c>
      <c r="C130" s="19"/>
      <c r="D130" s="8" t="str">
        <f t="shared" si="25"/>
        <v/>
      </c>
      <c r="E130" s="39"/>
    </row>
    <row r="131" spans="1:5">
      <c r="A131" s="6">
        <f t="shared" si="26"/>
        <v>92</v>
      </c>
      <c r="B131" s="7" t="s">
        <v>848</v>
      </c>
      <c r="C131" s="19"/>
      <c r="D131" s="8" t="str">
        <f t="shared" si="25"/>
        <v/>
      </c>
      <c r="E131" s="39"/>
    </row>
    <row r="132" spans="1:5">
      <c r="A132" s="6">
        <f t="shared" si="26"/>
        <v>93</v>
      </c>
      <c r="B132" s="7" t="s">
        <v>849</v>
      </c>
      <c r="C132" s="19"/>
      <c r="D132" s="8" t="str">
        <f t="shared" si="25"/>
        <v/>
      </c>
      <c r="E132" s="39"/>
    </row>
    <row r="133" spans="1:5">
      <c r="A133" s="6">
        <f t="shared" si="26"/>
        <v>94</v>
      </c>
      <c r="B133" s="7" t="s">
        <v>850</v>
      </c>
      <c r="C133" s="19"/>
      <c r="D133" s="8" t="str">
        <f t="shared" si="25"/>
        <v/>
      </c>
      <c r="E133" s="39"/>
    </row>
    <row r="134" spans="1:5" ht="77.5">
      <c r="A134" s="6">
        <f>1+A133</f>
        <v>95</v>
      </c>
      <c r="B134" s="56" t="s">
        <v>851</v>
      </c>
      <c r="C134" s="54"/>
      <c r="D134" s="8" t="str">
        <f t="shared" si="25"/>
        <v/>
      </c>
      <c r="E134" s="52"/>
    </row>
    <row r="135" spans="1:5" ht="25" customHeight="1" thickBot="1">
      <c r="A135" s="12"/>
      <c r="B135" s="13"/>
      <c r="C135" s="16">
        <f>SUM(C127:C134)</f>
        <v>0</v>
      </c>
      <c r="D135" s="16">
        <f>+COUNT(C127:C134)*2</f>
        <v>0</v>
      </c>
      <c r="E135" s="11" t="str">
        <f>+IF(C127="","",C135/D135)</f>
        <v/>
      </c>
    </row>
    <row r="136" spans="1:5" ht="25" customHeight="1">
      <c r="A136" s="49" t="s">
        <v>14</v>
      </c>
      <c r="B136" s="50" t="s">
        <v>852</v>
      </c>
    </row>
    <row r="137" spans="1:5" ht="31">
      <c r="A137" s="6">
        <f>1+A134</f>
        <v>96</v>
      </c>
      <c r="B137" s="17" t="s">
        <v>853</v>
      </c>
      <c r="C137" s="54"/>
      <c r="D137" s="55" t="str">
        <f t="shared" ref="D137:D145" si="27">+IF(C137="","",+IF(C137=0,"No Cumple",+IF(C137=1,"Cumple Parcial",+IF(C137=2,"Cumple Completo",+IF(C137="N","NA")))))</f>
        <v/>
      </c>
      <c r="E137" s="52"/>
    </row>
    <row r="138" spans="1:5">
      <c r="A138" s="6">
        <f>1+A137</f>
        <v>97</v>
      </c>
      <c r="B138" s="17" t="s">
        <v>854</v>
      </c>
      <c r="C138" s="54"/>
      <c r="D138" s="55" t="str">
        <f t="shared" si="27"/>
        <v/>
      </c>
      <c r="E138" s="52"/>
    </row>
    <row r="139" spans="1:5">
      <c r="A139" s="6">
        <f t="shared" ref="A139:A145" si="28">1+A138</f>
        <v>98</v>
      </c>
      <c r="B139" s="17" t="s">
        <v>148</v>
      </c>
      <c r="C139" s="54"/>
      <c r="D139" s="55" t="str">
        <f t="shared" si="27"/>
        <v/>
      </c>
      <c r="E139" s="52"/>
    </row>
    <row r="140" spans="1:5">
      <c r="A140" s="6">
        <f t="shared" si="28"/>
        <v>99</v>
      </c>
      <c r="B140" s="17" t="s">
        <v>149</v>
      </c>
      <c r="C140" s="54"/>
      <c r="D140" s="55" t="str">
        <f t="shared" si="27"/>
        <v/>
      </c>
      <c r="E140" s="52"/>
    </row>
    <row r="141" spans="1:5">
      <c r="A141" s="6">
        <f t="shared" si="28"/>
        <v>100</v>
      </c>
      <c r="B141" s="17" t="s">
        <v>633</v>
      </c>
      <c r="C141" s="54"/>
      <c r="D141" s="55" t="str">
        <f t="shared" si="27"/>
        <v/>
      </c>
      <c r="E141" s="52"/>
    </row>
    <row r="142" spans="1:5" ht="31">
      <c r="A142" s="6">
        <f t="shared" si="28"/>
        <v>101</v>
      </c>
      <c r="B142" s="17" t="s">
        <v>855</v>
      </c>
      <c r="C142" s="54"/>
      <c r="D142" s="55" t="str">
        <f t="shared" si="27"/>
        <v/>
      </c>
      <c r="E142" s="52"/>
    </row>
    <row r="143" spans="1:5" ht="31">
      <c r="A143" s="6">
        <f t="shared" si="28"/>
        <v>102</v>
      </c>
      <c r="B143" s="17" t="s">
        <v>856</v>
      </c>
      <c r="C143" s="54"/>
      <c r="D143" s="55" t="str">
        <f t="shared" si="27"/>
        <v/>
      </c>
      <c r="E143" s="52"/>
    </row>
    <row r="144" spans="1:5" ht="31">
      <c r="A144" s="6">
        <f t="shared" si="28"/>
        <v>103</v>
      </c>
      <c r="B144" s="17" t="s">
        <v>857</v>
      </c>
      <c r="C144" s="54"/>
      <c r="D144" s="55"/>
      <c r="E144" s="52"/>
    </row>
    <row r="145" spans="1:7" ht="93">
      <c r="A145" s="6">
        <f t="shared" si="28"/>
        <v>104</v>
      </c>
      <c r="B145" s="56" t="s">
        <v>858</v>
      </c>
      <c r="C145" s="54"/>
      <c r="D145" s="55" t="str">
        <f t="shared" si="27"/>
        <v/>
      </c>
      <c r="E145" s="52"/>
    </row>
    <row r="146" spans="1:7" ht="26.15" customHeight="1" thickBot="1">
      <c r="C146" s="16">
        <f>SUM(C137:C145)</f>
        <v>0</v>
      </c>
      <c r="D146" s="16">
        <f>+COUNT(C137:C145)*2</f>
        <v>0</v>
      </c>
      <c r="E146" s="11" t="str">
        <f>+IF(C137="","",C146/D146)</f>
        <v/>
      </c>
      <c r="G146" s="29" t="str">
        <f>+IF(E84="","",+AVERAGE(E84,E97,E103,E109,E117,E124,E135,E146))</f>
        <v/>
      </c>
    </row>
    <row r="147" spans="1:7" ht="25" customHeight="1">
      <c r="A147" s="47">
        <v>7</v>
      </c>
      <c r="B147" s="48" t="s">
        <v>158</v>
      </c>
    </row>
    <row r="148" spans="1:7" ht="26.15" customHeight="1">
      <c r="A148" s="49" t="s">
        <v>16</v>
      </c>
      <c r="B148" s="50" t="s">
        <v>159</v>
      </c>
      <c r="E148" s="5"/>
    </row>
    <row r="149" spans="1:7" ht="46.5">
      <c r="A149" s="6">
        <f>1+A145</f>
        <v>105</v>
      </c>
      <c r="B149" s="7" t="s">
        <v>859</v>
      </c>
      <c r="C149" s="19"/>
      <c r="D149" s="62" t="str">
        <f t="shared" ref="D149:D150" si="29">+IF(C149="","",+IF(C149=0,"No Cumple",+IF(C149=1,"Cumple Parcial",+IF(C149=2,"Cumple Completo",+IF(C149="N","NA")))))</f>
        <v/>
      </c>
      <c r="E149" s="39"/>
    </row>
    <row r="150" spans="1:7" ht="31">
      <c r="A150" s="6">
        <f>1+A149</f>
        <v>106</v>
      </c>
      <c r="B150" s="56" t="s">
        <v>1020</v>
      </c>
      <c r="C150" s="54"/>
      <c r="D150" s="55" t="str">
        <f t="shared" si="29"/>
        <v/>
      </c>
      <c r="E150" s="52"/>
    </row>
    <row r="151" spans="1:7" ht="26.15" customHeight="1" thickBot="1">
      <c r="A151" s="12"/>
      <c r="B151" s="18"/>
      <c r="C151" s="16">
        <f>SUM(C149:C150)</f>
        <v>0</v>
      </c>
      <c r="D151" s="16">
        <f>+COUNT(C149:C150)*2</f>
        <v>0</v>
      </c>
      <c r="E151" s="11" t="str">
        <f>+IF(C149="","",C151/D151)</f>
        <v/>
      </c>
    </row>
    <row r="152" spans="1:7" ht="26.15" customHeight="1">
      <c r="A152" s="47" t="s">
        <v>17</v>
      </c>
      <c r="B152" s="48" t="s">
        <v>196</v>
      </c>
    </row>
    <row r="153" spans="1:7" ht="46.5">
      <c r="A153" s="6">
        <f>1+A150</f>
        <v>107</v>
      </c>
      <c r="B153" s="7" t="s">
        <v>860</v>
      </c>
      <c r="C153" s="6"/>
      <c r="D153" s="8" t="str">
        <f t="shared" ref="D153:D158" si="30">+IF(C153="","",+IF(C153=0,"No Cumple",+IF(C153=1,"Cumple Parcial",+IF(C153=2,"Cumple Completo",+IF(C153="N","NA")))))</f>
        <v/>
      </c>
      <c r="E153" s="39"/>
    </row>
    <row r="154" spans="1:7" ht="46.5">
      <c r="A154" s="6">
        <f>1+A153</f>
        <v>108</v>
      </c>
      <c r="B154" s="7" t="s">
        <v>861</v>
      </c>
      <c r="C154" s="6"/>
      <c r="D154" s="8" t="str">
        <f t="shared" si="30"/>
        <v/>
      </c>
      <c r="E154" s="39" t="s">
        <v>55</v>
      </c>
    </row>
    <row r="155" spans="1:7" ht="31">
      <c r="A155" s="6">
        <f t="shared" ref="A155:A158" si="31">1+A154</f>
        <v>109</v>
      </c>
      <c r="B155" s="7" t="s">
        <v>862</v>
      </c>
      <c r="C155" s="19"/>
      <c r="D155" s="53"/>
      <c r="E155" s="39"/>
    </row>
    <row r="156" spans="1:7" ht="31">
      <c r="A156" s="6">
        <f t="shared" si="31"/>
        <v>110</v>
      </c>
      <c r="B156" s="7" t="s">
        <v>863</v>
      </c>
      <c r="C156" s="19"/>
      <c r="D156" s="53"/>
      <c r="E156" s="39"/>
    </row>
    <row r="157" spans="1:7" ht="46.5">
      <c r="A157" s="6">
        <f t="shared" si="31"/>
        <v>111</v>
      </c>
      <c r="B157" s="57" t="s">
        <v>864</v>
      </c>
      <c r="C157" s="19"/>
      <c r="D157" s="53"/>
      <c r="E157" s="39"/>
    </row>
    <row r="158" spans="1:7" ht="31">
      <c r="A158" s="6">
        <f t="shared" si="31"/>
        <v>112</v>
      </c>
      <c r="B158" s="56" t="s">
        <v>865</v>
      </c>
      <c r="C158" s="54"/>
      <c r="D158" s="55" t="str">
        <f t="shared" si="30"/>
        <v/>
      </c>
      <c r="E158" s="52"/>
    </row>
    <row r="159" spans="1:7" ht="25" customHeight="1" thickBot="1">
      <c r="C159" s="16">
        <f>SUM(C153:C158)</f>
        <v>0</v>
      </c>
      <c r="D159" s="16">
        <f>+COUNT(C153:C158)*2</f>
        <v>0</v>
      </c>
      <c r="E159" s="11" t="str">
        <f>+IF(C153="","",C159/D159)</f>
        <v/>
      </c>
    </row>
    <row r="160" spans="1:7" ht="26.15" customHeight="1">
      <c r="A160" s="47" t="s">
        <v>201</v>
      </c>
      <c r="B160" s="48" t="s">
        <v>202</v>
      </c>
    </row>
    <row r="161" spans="1:5" ht="31">
      <c r="A161" s="6">
        <f>1+A158</f>
        <v>113</v>
      </c>
      <c r="B161" s="7" t="s">
        <v>866</v>
      </c>
      <c r="C161" s="54"/>
      <c r="D161" s="55" t="str">
        <f t="shared" ref="D161:D167" si="32">+IF(C161="","",+IF(C161=0,"No Cumple",+IF(C161=1,"Cumple Parcial",+IF(C161=2,"Cumple Completo",+IF(C161="N","NA")))))</f>
        <v/>
      </c>
      <c r="E161" s="39"/>
    </row>
    <row r="162" spans="1:5" ht="31">
      <c r="A162" s="6">
        <f>1+A161</f>
        <v>114</v>
      </c>
      <c r="B162" s="7" t="s">
        <v>867</v>
      </c>
      <c r="C162" s="54"/>
      <c r="D162" s="55" t="str">
        <f t="shared" si="32"/>
        <v/>
      </c>
      <c r="E162" s="39"/>
    </row>
    <row r="163" spans="1:5" ht="31">
      <c r="A163" s="6">
        <f t="shared" ref="A163:A167" si="33">1+A162</f>
        <v>115</v>
      </c>
      <c r="B163" s="7" t="s">
        <v>868</v>
      </c>
      <c r="C163" s="54"/>
      <c r="D163" s="55" t="str">
        <f t="shared" si="32"/>
        <v/>
      </c>
      <c r="E163" s="39"/>
    </row>
    <row r="164" spans="1:5" ht="31">
      <c r="A164" s="6">
        <f t="shared" si="33"/>
        <v>116</v>
      </c>
      <c r="B164" s="7" t="s">
        <v>869</v>
      </c>
      <c r="C164" s="54"/>
      <c r="D164" s="55" t="str">
        <f t="shared" si="32"/>
        <v/>
      </c>
      <c r="E164" s="39"/>
    </row>
    <row r="165" spans="1:5" ht="31">
      <c r="A165" s="6">
        <f t="shared" si="33"/>
        <v>117</v>
      </c>
      <c r="B165" s="7" t="s">
        <v>870</v>
      </c>
      <c r="C165" s="54"/>
      <c r="D165" s="55" t="str">
        <f t="shared" si="32"/>
        <v/>
      </c>
      <c r="E165" s="39"/>
    </row>
    <row r="166" spans="1:5" ht="46.5">
      <c r="A166" s="6">
        <f t="shared" si="33"/>
        <v>118</v>
      </c>
      <c r="B166" s="7" t="s">
        <v>871</v>
      </c>
      <c r="C166" s="54"/>
      <c r="D166" s="55" t="str">
        <f t="shared" si="32"/>
        <v/>
      </c>
      <c r="E166" s="39"/>
    </row>
    <row r="167" spans="1:5" ht="62">
      <c r="A167" s="6">
        <f t="shared" si="33"/>
        <v>119</v>
      </c>
      <c r="B167" s="56" t="s">
        <v>1021</v>
      </c>
      <c r="C167" s="54"/>
      <c r="D167" s="55" t="str">
        <f t="shared" si="32"/>
        <v/>
      </c>
      <c r="E167" s="52"/>
    </row>
    <row r="168" spans="1:5" ht="25" customHeight="1" thickBot="1">
      <c r="C168" s="16">
        <f>SUM(C161:C167)</f>
        <v>0</v>
      </c>
      <c r="D168" s="16">
        <f>+COUNT(C161:C167)*2</f>
        <v>0</v>
      </c>
      <c r="E168" s="11" t="str">
        <f>+IF(C161="","",C168/D168)</f>
        <v/>
      </c>
    </row>
    <row r="169" spans="1:5" ht="26.15" customHeight="1">
      <c r="A169" s="47" t="s">
        <v>208</v>
      </c>
      <c r="B169" s="48" t="s">
        <v>2</v>
      </c>
    </row>
    <row r="170" spans="1:5" ht="26.15" customHeight="1">
      <c r="A170" s="47" t="s">
        <v>645</v>
      </c>
      <c r="B170" s="48" t="s">
        <v>10</v>
      </c>
    </row>
    <row r="171" spans="1:5" ht="62">
      <c r="A171" s="6">
        <f>1+A167</f>
        <v>120</v>
      </c>
      <c r="B171" s="7" t="s">
        <v>875</v>
      </c>
      <c r="C171" s="54"/>
      <c r="D171" s="55" t="str">
        <f t="shared" ref="D171:D180" si="34">+IF(C171="","",+IF(C171=0,"No Cumple",+IF(C171=1,"Cumple Parcial",+IF(C171=2,"Cumple Completo",+IF(C171="N","NA")))))</f>
        <v/>
      </c>
      <c r="E171" s="39"/>
    </row>
    <row r="172" spans="1:5">
      <c r="A172" s="6">
        <f>1+A171</f>
        <v>121</v>
      </c>
      <c r="B172" s="7" t="s">
        <v>211</v>
      </c>
      <c r="C172" s="54"/>
      <c r="D172" s="55" t="str">
        <f t="shared" si="34"/>
        <v/>
      </c>
      <c r="E172" s="39"/>
    </row>
    <row r="173" spans="1:5" ht="62">
      <c r="A173" s="6">
        <f t="shared" ref="A173:A180" si="35">1+A172</f>
        <v>122</v>
      </c>
      <c r="B173" s="7" t="s">
        <v>876</v>
      </c>
      <c r="C173" s="54"/>
      <c r="D173" s="55" t="str">
        <f t="shared" si="34"/>
        <v/>
      </c>
      <c r="E173" s="39"/>
    </row>
    <row r="174" spans="1:5">
      <c r="A174" s="6">
        <f t="shared" si="35"/>
        <v>123</v>
      </c>
      <c r="B174" s="7" t="s">
        <v>213</v>
      </c>
      <c r="C174" s="54"/>
      <c r="D174" s="55" t="str">
        <f t="shared" si="34"/>
        <v/>
      </c>
      <c r="E174" s="39"/>
    </row>
    <row r="175" spans="1:5" ht="46.5">
      <c r="A175" s="6">
        <f t="shared" si="35"/>
        <v>124</v>
      </c>
      <c r="B175" s="7" t="s">
        <v>877</v>
      </c>
      <c r="C175" s="54"/>
      <c r="D175" s="55" t="str">
        <f t="shared" si="34"/>
        <v/>
      </c>
      <c r="E175" s="39"/>
    </row>
    <row r="176" spans="1:5" ht="31">
      <c r="A176" s="6">
        <f t="shared" si="35"/>
        <v>125</v>
      </c>
      <c r="B176" s="7" t="s">
        <v>878</v>
      </c>
      <c r="C176" s="54"/>
      <c r="D176" s="55" t="str">
        <f t="shared" si="34"/>
        <v/>
      </c>
      <c r="E176" s="39"/>
    </row>
    <row r="177" spans="1:5" ht="62">
      <c r="A177" s="6">
        <f t="shared" si="35"/>
        <v>126</v>
      </c>
      <c r="B177" s="7" t="s">
        <v>879</v>
      </c>
      <c r="C177" s="54"/>
      <c r="D177" s="55" t="str">
        <f t="shared" si="34"/>
        <v/>
      </c>
      <c r="E177" s="39"/>
    </row>
    <row r="178" spans="1:5" ht="31">
      <c r="A178" s="6">
        <f t="shared" si="35"/>
        <v>127</v>
      </c>
      <c r="B178" s="7" t="s">
        <v>880</v>
      </c>
      <c r="C178" s="54"/>
      <c r="D178" s="55" t="str">
        <f t="shared" si="34"/>
        <v/>
      </c>
      <c r="E178" s="39"/>
    </row>
    <row r="179" spans="1:5" ht="31">
      <c r="A179" s="6">
        <f t="shared" si="35"/>
        <v>128</v>
      </c>
      <c r="B179" s="7" t="s">
        <v>881</v>
      </c>
      <c r="C179" s="54"/>
      <c r="D179" s="55" t="str">
        <f t="shared" si="34"/>
        <v/>
      </c>
      <c r="E179" s="39"/>
    </row>
    <row r="180" spans="1:5" ht="124">
      <c r="A180" s="6">
        <f t="shared" si="35"/>
        <v>129</v>
      </c>
      <c r="B180" s="56" t="s">
        <v>1022</v>
      </c>
      <c r="C180" s="54"/>
      <c r="D180" s="55" t="str">
        <f t="shared" si="34"/>
        <v/>
      </c>
      <c r="E180" s="52"/>
    </row>
    <row r="181" spans="1:5" ht="25" customHeight="1" thickBot="1">
      <c r="C181" s="16">
        <f>SUM(C171:C180)</f>
        <v>0</v>
      </c>
      <c r="D181" s="16">
        <f>+COUNT(C171:C180)*2</f>
        <v>0</v>
      </c>
      <c r="E181" s="11" t="str">
        <f>+IF(C171="","",C181/D181)</f>
        <v/>
      </c>
    </row>
    <row r="182" spans="1:5" ht="26.15" customHeight="1">
      <c r="A182" s="47" t="s">
        <v>652</v>
      </c>
      <c r="B182" s="48" t="s">
        <v>872</v>
      </c>
    </row>
    <row r="183" spans="1:5" ht="62">
      <c r="A183" s="6">
        <f>1+A180</f>
        <v>130</v>
      </c>
      <c r="B183" s="7" t="s">
        <v>882</v>
      </c>
      <c r="C183" s="54"/>
      <c r="D183" s="55" t="str">
        <f t="shared" ref="D183:D185" si="36">+IF(C183="","",+IF(C183=0,"No Cumple",+IF(C183=1,"Cumple Parcial",+IF(C183=2,"Cumple Completo",+IF(C183="N","NA")))))</f>
        <v/>
      </c>
      <c r="E183" s="39"/>
    </row>
    <row r="184" spans="1:5" ht="31">
      <c r="A184" s="6">
        <f>1+A183</f>
        <v>131</v>
      </c>
      <c r="B184" s="7" t="s">
        <v>883</v>
      </c>
      <c r="C184" s="54"/>
      <c r="D184" s="55" t="str">
        <f t="shared" si="36"/>
        <v/>
      </c>
      <c r="E184" s="39"/>
    </row>
    <row r="185" spans="1:5" ht="77.5">
      <c r="A185" s="6">
        <f>1+A184</f>
        <v>132</v>
      </c>
      <c r="B185" s="56" t="s">
        <v>884</v>
      </c>
      <c r="C185" s="54"/>
      <c r="D185" s="55" t="str">
        <f t="shared" si="36"/>
        <v/>
      </c>
      <c r="E185" s="52"/>
    </row>
    <row r="186" spans="1:5" ht="25" customHeight="1" thickBot="1">
      <c r="C186" s="16">
        <f>SUM(C183:C185)</f>
        <v>0</v>
      </c>
      <c r="D186" s="16">
        <f>+COUNT(C183:C185)*2</f>
        <v>0</v>
      </c>
      <c r="E186" s="11" t="str">
        <f>+IF(C183="","",C186/D186)</f>
        <v/>
      </c>
    </row>
    <row r="187" spans="1:5" ht="26.15" customHeight="1">
      <c r="A187" s="47" t="s">
        <v>656</v>
      </c>
      <c r="B187" s="48" t="s">
        <v>731</v>
      </c>
    </row>
    <row r="188" spans="1:5" ht="46.5">
      <c r="A188" s="6">
        <f>1+A185</f>
        <v>133</v>
      </c>
      <c r="B188" s="7" t="s">
        <v>885</v>
      </c>
      <c r="C188" s="54"/>
      <c r="D188" s="55" t="str">
        <f t="shared" ref="D188:D189" si="37">+IF(C188="","",+IF(C188=0,"No Cumple",+IF(C188=1,"Cumple Parcial",+IF(C188=2,"Cumple Completo",+IF(C188="N","NA")))))</f>
        <v/>
      </c>
      <c r="E188" s="39"/>
    </row>
    <row r="189" spans="1:5" ht="46.5">
      <c r="A189" s="6">
        <f>1+A188</f>
        <v>134</v>
      </c>
      <c r="B189" s="56" t="s">
        <v>886</v>
      </c>
      <c r="C189" s="54"/>
      <c r="D189" s="55" t="str">
        <f t="shared" si="37"/>
        <v/>
      </c>
      <c r="E189" s="52"/>
    </row>
    <row r="190" spans="1:5" ht="25" customHeight="1" thickBot="1">
      <c r="C190" s="16">
        <f>SUM(C188:C189)</f>
        <v>0</v>
      </c>
      <c r="D190" s="16">
        <f>+COUNT(C188:C189)*2</f>
        <v>0</v>
      </c>
      <c r="E190" s="11" t="str">
        <f>+IF(C188="","",C190/D190)</f>
        <v/>
      </c>
    </row>
    <row r="191" spans="1:5" ht="26.15" customHeight="1">
      <c r="A191" s="47" t="s">
        <v>215</v>
      </c>
      <c r="B191" s="48" t="s">
        <v>216</v>
      </c>
    </row>
    <row r="192" spans="1:5" ht="26.15" customHeight="1">
      <c r="A192" s="47" t="s">
        <v>33</v>
      </c>
      <c r="B192" s="48" t="s">
        <v>10</v>
      </c>
    </row>
    <row r="193" spans="1:5" ht="31">
      <c r="A193" s="6">
        <f>1+A189</f>
        <v>135</v>
      </c>
      <c r="B193" s="7" t="s">
        <v>887</v>
      </c>
      <c r="C193" s="54"/>
      <c r="D193" s="55" t="str">
        <f t="shared" ref="D193:D196" si="38">+IF(C193="","",+IF(C193=0,"No Cumple",+IF(C193=1,"Cumple Parcial",+IF(C193=2,"Cumple Completo",+IF(C193="N","NA")))))</f>
        <v/>
      </c>
      <c r="E193" s="39"/>
    </row>
    <row r="194" spans="1:5" ht="31">
      <c r="A194" s="6">
        <f>1+A193</f>
        <v>136</v>
      </c>
      <c r="B194" s="7" t="s">
        <v>888</v>
      </c>
      <c r="C194" s="54"/>
      <c r="D194" s="55" t="str">
        <f t="shared" si="38"/>
        <v/>
      </c>
      <c r="E194" s="39"/>
    </row>
    <row r="195" spans="1:5" ht="124">
      <c r="A195" s="6">
        <f t="shared" ref="A195:A196" si="39">1+A194</f>
        <v>137</v>
      </c>
      <c r="B195" s="7" t="s">
        <v>889</v>
      </c>
      <c r="C195" s="54"/>
      <c r="D195" s="55" t="str">
        <f t="shared" si="38"/>
        <v/>
      </c>
      <c r="E195" s="39"/>
    </row>
    <row r="196" spans="1:5" ht="31">
      <c r="A196" s="6">
        <f t="shared" si="39"/>
        <v>138</v>
      </c>
      <c r="B196" s="56" t="s">
        <v>890</v>
      </c>
      <c r="C196" s="54"/>
      <c r="D196" s="55" t="str">
        <f t="shared" si="38"/>
        <v/>
      </c>
      <c r="E196" s="52"/>
    </row>
    <row r="197" spans="1:5" ht="25" customHeight="1" thickBot="1">
      <c r="C197" s="16">
        <f>SUM(C193:C196)</f>
        <v>0</v>
      </c>
      <c r="D197" s="16">
        <f>+COUNT(C193:C196)*2</f>
        <v>0</v>
      </c>
      <c r="E197" s="11" t="str">
        <f>+IF(C193="","",C197/D197)</f>
        <v/>
      </c>
    </row>
    <row r="198" spans="1:5" ht="26.15" customHeight="1">
      <c r="A198" s="47" t="s">
        <v>34</v>
      </c>
      <c r="B198" s="48" t="s">
        <v>220</v>
      </c>
    </row>
    <row r="199" spans="1:5" ht="62">
      <c r="A199" s="6">
        <f>1+A196</f>
        <v>139</v>
      </c>
      <c r="B199" s="7" t="s">
        <v>891</v>
      </c>
      <c r="C199" s="54"/>
      <c r="D199" s="55" t="str">
        <f t="shared" ref="D199:D202" si="40">+IF(C199="","",+IF(C199=0,"No Cumple",+IF(C199=1,"Cumple Parcial",+IF(C199=2,"Cumple Completo",+IF(C199="N","NA")))))</f>
        <v/>
      </c>
      <c r="E199" s="39"/>
    </row>
    <row r="200" spans="1:5" ht="31">
      <c r="A200" s="6">
        <f>1+A199</f>
        <v>140</v>
      </c>
      <c r="B200" s="7" t="s">
        <v>892</v>
      </c>
      <c r="C200" s="54"/>
      <c r="D200" s="55" t="str">
        <f t="shared" si="40"/>
        <v/>
      </c>
      <c r="E200" s="39"/>
    </row>
    <row r="201" spans="1:5">
      <c r="A201" s="6">
        <f t="shared" ref="A201:A202" si="41">1+A200</f>
        <v>141</v>
      </c>
      <c r="B201" s="7" t="s">
        <v>893</v>
      </c>
      <c r="C201" s="54"/>
      <c r="D201" s="55" t="str">
        <f t="shared" si="40"/>
        <v/>
      </c>
      <c r="E201" s="39"/>
    </row>
    <row r="202" spans="1:5" ht="46.5">
      <c r="A202" s="6">
        <f t="shared" si="41"/>
        <v>142</v>
      </c>
      <c r="B202" s="56" t="s">
        <v>894</v>
      </c>
      <c r="C202" s="54"/>
      <c r="D202" s="55" t="str">
        <f t="shared" si="40"/>
        <v/>
      </c>
      <c r="E202" s="52"/>
    </row>
    <row r="203" spans="1:5" ht="25" customHeight="1" thickBot="1">
      <c r="C203" s="16">
        <f>SUM(C199:C202)</f>
        <v>0</v>
      </c>
      <c r="D203" s="16">
        <f>+COUNT(C199:C202)*2</f>
        <v>0</v>
      </c>
      <c r="E203" s="11" t="str">
        <f>+IF(C199="","",C203/D203)</f>
        <v/>
      </c>
    </row>
    <row r="204" spans="1:5" ht="26.15" customHeight="1">
      <c r="A204" s="47" t="s">
        <v>35</v>
      </c>
      <c r="B204" s="48" t="s">
        <v>224</v>
      </c>
    </row>
    <row r="205" spans="1:5" ht="46.5">
      <c r="A205" s="6">
        <f>1+A202</f>
        <v>143</v>
      </c>
      <c r="B205" s="7" t="s">
        <v>895</v>
      </c>
      <c r="C205" s="54"/>
      <c r="D205" s="55" t="str">
        <f t="shared" ref="D205:D211" si="42">+IF(C205="","",+IF(C205=0,"No Cumple",+IF(C205=1,"Cumple Parcial",+IF(C205=2,"Cumple Completo",+IF(C205="N","NA")))))</f>
        <v/>
      </c>
      <c r="E205" s="39"/>
    </row>
    <row r="206" spans="1:5" ht="31">
      <c r="A206" s="6">
        <f>1+A205</f>
        <v>144</v>
      </c>
      <c r="B206" s="7" t="s">
        <v>896</v>
      </c>
      <c r="C206" s="54"/>
      <c r="D206" s="55" t="str">
        <f t="shared" si="42"/>
        <v/>
      </c>
      <c r="E206" s="39"/>
    </row>
    <row r="207" spans="1:5" ht="93">
      <c r="A207" s="6">
        <f t="shared" ref="A207:A211" si="43">1+A206</f>
        <v>145</v>
      </c>
      <c r="B207" s="7" t="s">
        <v>897</v>
      </c>
      <c r="C207" s="54"/>
      <c r="D207" s="55" t="str">
        <f t="shared" si="42"/>
        <v/>
      </c>
      <c r="E207" s="39"/>
    </row>
    <row r="208" spans="1:5" ht="46.5">
      <c r="A208" s="6">
        <f t="shared" si="43"/>
        <v>146</v>
      </c>
      <c r="B208" s="7" t="s">
        <v>898</v>
      </c>
      <c r="C208" s="54"/>
      <c r="D208" s="55" t="str">
        <f t="shared" si="42"/>
        <v/>
      </c>
      <c r="E208" s="39"/>
    </row>
    <row r="209" spans="1:7" ht="46.5">
      <c r="A209" s="6">
        <f t="shared" si="43"/>
        <v>147</v>
      </c>
      <c r="B209" s="57" t="s">
        <v>899</v>
      </c>
      <c r="C209" s="54"/>
      <c r="D209" s="55" t="str">
        <f t="shared" si="42"/>
        <v/>
      </c>
      <c r="E209" s="39"/>
    </row>
    <row r="210" spans="1:7" ht="46.5">
      <c r="A210" s="6">
        <f t="shared" si="43"/>
        <v>148</v>
      </c>
      <c r="B210" s="57" t="s">
        <v>900</v>
      </c>
      <c r="C210" s="54"/>
      <c r="D210" s="55" t="str">
        <f t="shared" si="42"/>
        <v/>
      </c>
      <c r="E210" s="39"/>
    </row>
    <row r="211" spans="1:7" ht="77.5">
      <c r="A211" s="6">
        <f t="shared" si="43"/>
        <v>149</v>
      </c>
      <c r="B211" s="56" t="s">
        <v>901</v>
      </c>
      <c r="C211" s="54"/>
      <c r="D211" s="55" t="str">
        <f t="shared" si="42"/>
        <v/>
      </c>
      <c r="E211" s="52"/>
    </row>
    <row r="212" spans="1:7" ht="25" customHeight="1" thickBot="1">
      <c r="C212" s="16">
        <f>SUM(C205:C211)</f>
        <v>0</v>
      </c>
      <c r="D212" s="16">
        <f>+COUNT(C205:C211)*2</f>
        <v>0</v>
      </c>
      <c r="E212" s="11" t="str">
        <f>+IF(C205="","",C212/D212)</f>
        <v/>
      </c>
      <c r="G212" s="29" t="str">
        <f>+IF(E151="","",+AVERAGE(E151,E159,E168,E181,E186,E190,E197,E203,E212))</f>
        <v/>
      </c>
    </row>
    <row r="213" spans="1:7" ht="25" customHeight="1">
      <c r="A213" s="63">
        <v>8</v>
      </c>
      <c r="B213" s="64" t="s">
        <v>240</v>
      </c>
    </row>
    <row r="214" spans="1:7" ht="26.15" customHeight="1">
      <c r="A214" s="47" t="s">
        <v>873</v>
      </c>
      <c r="B214" s="48" t="s">
        <v>244</v>
      </c>
    </row>
    <row r="215" spans="1:7" ht="26.15" customHeight="1">
      <c r="A215" s="47" t="s">
        <v>874</v>
      </c>
      <c r="B215" s="48" t="s">
        <v>10</v>
      </c>
    </row>
    <row r="216" spans="1:7" ht="62">
      <c r="A216" s="6">
        <f>1+A211</f>
        <v>150</v>
      </c>
      <c r="B216" s="7" t="s">
        <v>902</v>
      </c>
      <c r="C216" s="54"/>
      <c r="D216" s="55" t="str">
        <f t="shared" ref="D216:D221" si="44">+IF(C216="","",+IF(C216=0,"No Cumple",+IF(C216=1,"Cumple Parcial",+IF(C216=2,"Cumple Completo",+IF(C216="N","NA")))))</f>
        <v/>
      </c>
      <c r="E216" s="39"/>
    </row>
    <row r="217" spans="1:7" ht="31">
      <c r="A217" s="6">
        <f>1+A216</f>
        <v>151</v>
      </c>
      <c r="B217" s="7" t="s">
        <v>903</v>
      </c>
      <c r="C217" s="54"/>
      <c r="D217" s="55" t="str">
        <f t="shared" si="44"/>
        <v/>
      </c>
      <c r="E217" s="39"/>
    </row>
    <row r="218" spans="1:7" ht="46.5">
      <c r="A218" s="6">
        <f t="shared" ref="A218:A221" si="45">1+A217</f>
        <v>152</v>
      </c>
      <c r="B218" s="7" t="s">
        <v>904</v>
      </c>
      <c r="C218" s="54"/>
      <c r="D218" s="55" t="str">
        <f t="shared" si="44"/>
        <v/>
      </c>
      <c r="E218" s="39"/>
    </row>
    <row r="219" spans="1:7">
      <c r="A219" s="6">
        <f t="shared" si="45"/>
        <v>153</v>
      </c>
      <c r="B219" s="7" t="s">
        <v>905</v>
      </c>
      <c r="C219" s="54"/>
      <c r="D219" s="55" t="str">
        <f t="shared" si="44"/>
        <v/>
      </c>
      <c r="E219" s="39"/>
    </row>
    <row r="220" spans="1:7" ht="31">
      <c r="A220" s="6">
        <f t="shared" si="45"/>
        <v>154</v>
      </c>
      <c r="B220" s="7" t="s">
        <v>906</v>
      </c>
      <c r="C220" s="54"/>
      <c r="D220" s="55" t="str">
        <f t="shared" si="44"/>
        <v/>
      </c>
      <c r="E220" s="39"/>
    </row>
    <row r="221" spans="1:7" ht="46.5">
      <c r="A221" s="6">
        <f t="shared" si="45"/>
        <v>155</v>
      </c>
      <c r="B221" s="56" t="s">
        <v>907</v>
      </c>
      <c r="C221" s="54"/>
      <c r="D221" s="55" t="str">
        <f t="shared" si="44"/>
        <v/>
      </c>
      <c r="E221" s="52"/>
    </row>
    <row r="222" spans="1:7" ht="25" customHeight="1" thickBot="1">
      <c r="C222" s="16">
        <f>SUM(C216:C221)</f>
        <v>0</v>
      </c>
      <c r="D222" s="16">
        <f>+COUNT(C216:C221)*2</f>
        <v>0</v>
      </c>
      <c r="E222" s="11" t="str">
        <f>+IF(C216="","",C222/D222)</f>
        <v/>
      </c>
    </row>
    <row r="223" spans="1:7" ht="26.15" customHeight="1">
      <c r="A223" s="47" t="s">
        <v>908</v>
      </c>
      <c r="B223" s="48" t="s">
        <v>1024</v>
      </c>
    </row>
    <row r="224" spans="1:7" ht="62">
      <c r="A224" s="6">
        <f>1+A221</f>
        <v>156</v>
      </c>
      <c r="B224" s="7" t="s">
        <v>1023</v>
      </c>
      <c r="C224" s="54"/>
      <c r="D224" s="55" t="str">
        <f t="shared" ref="D224:D230" si="46">+IF(C224="","",+IF(C224=0,"No Cumple",+IF(C224=1,"Cumple Parcial",+IF(C224=2,"Cumple Completo",+IF(C224="N","NA")))))</f>
        <v/>
      </c>
      <c r="E224" s="39"/>
    </row>
    <row r="225" spans="1:5" ht="31">
      <c r="A225" s="6">
        <f>1+A224</f>
        <v>157</v>
      </c>
      <c r="B225" s="7" t="s">
        <v>916</v>
      </c>
      <c r="C225" s="54"/>
      <c r="D225" s="55" t="str">
        <f t="shared" si="46"/>
        <v/>
      </c>
      <c r="E225" s="39"/>
    </row>
    <row r="226" spans="1:5">
      <c r="A226" s="6">
        <f t="shared" ref="A226:A230" si="47">1+A225</f>
        <v>158</v>
      </c>
      <c r="B226" s="7" t="s">
        <v>917</v>
      </c>
      <c r="C226" s="54"/>
      <c r="D226" s="55" t="str">
        <f t="shared" si="46"/>
        <v/>
      </c>
      <c r="E226" s="39"/>
    </row>
    <row r="227" spans="1:5">
      <c r="A227" s="6">
        <f t="shared" si="47"/>
        <v>159</v>
      </c>
      <c r="B227" s="7" t="s">
        <v>918</v>
      </c>
      <c r="C227" s="54"/>
      <c r="D227" s="55" t="str">
        <f t="shared" si="46"/>
        <v/>
      </c>
      <c r="E227" s="39"/>
    </row>
    <row r="228" spans="1:5">
      <c r="A228" s="6">
        <f t="shared" si="47"/>
        <v>160</v>
      </c>
      <c r="B228" s="7" t="s">
        <v>919</v>
      </c>
      <c r="C228" s="54"/>
      <c r="D228" s="55" t="str">
        <f t="shared" si="46"/>
        <v/>
      </c>
      <c r="E228" s="39"/>
    </row>
    <row r="229" spans="1:5" ht="46.5">
      <c r="A229" s="6">
        <f t="shared" si="47"/>
        <v>161</v>
      </c>
      <c r="B229" s="7" t="s">
        <v>920</v>
      </c>
      <c r="C229" s="54"/>
      <c r="D229" s="55" t="str">
        <f t="shared" si="46"/>
        <v/>
      </c>
      <c r="E229" s="39"/>
    </row>
    <row r="230" spans="1:5" ht="310">
      <c r="A230" s="6">
        <f t="shared" si="47"/>
        <v>162</v>
      </c>
      <c r="B230" s="56" t="s">
        <v>1025</v>
      </c>
      <c r="C230" s="54"/>
      <c r="D230" s="55" t="str">
        <f t="shared" si="46"/>
        <v/>
      </c>
      <c r="E230" s="52"/>
    </row>
    <row r="231" spans="1:5" ht="25" customHeight="1" thickBot="1">
      <c r="C231" s="16">
        <f>SUM(C224:C230)</f>
        <v>0</v>
      </c>
      <c r="D231" s="16">
        <f>+COUNT(C224:C230)*2</f>
        <v>0</v>
      </c>
      <c r="E231" s="11" t="str">
        <f>+IF(C224="","",C231/D231)</f>
        <v/>
      </c>
    </row>
    <row r="232" spans="1:5" ht="26.15" customHeight="1">
      <c r="A232" s="47" t="s">
        <v>909</v>
      </c>
      <c r="B232" s="48" t="s">
        <v>910</v>
      </c>
    </row>
    <row r="233" spans="1:5" ht="46.5">
      <c r="A233" s="6">
        <f>1+A230</f>
        <v>163</v>
      </c>
      <c r="B233" s="7" t="s">
        <v>921</v>
      </c>
      <c r="C233" s="54"/>
      <c r="D233" s="55" t="str">
        <f t="shared" ref="D233:D240" si="48">+IF(C233="","",+IF(C233=0,"No Cumple",+IF(C233=1,"Cumple Parcial",+IF(C233=2,"Cumple Completo",+IF(C233="N","NA")))))</f>
        <v/>
      </c>
      <c r="E233" s="39"/>
    </row>
    <row r="234" spans="1:5" ht="108.5">
      <c r="A234" s="6">
        <f>1+A233</f>
        <v>164</v>
      </c>
      <c r="B234" s="7" t="s">
        <v>922</v>
      </c>
      <c r="C234" s="54"/>
      <c r="D234" s="55" t="str">
        <f t="shared" si="48"/>
        <v/>
      </c>
      <c r="E234" s="39"/>
    </row>
    <row r="235" spans="1:5">
      <c r="A235" s="6">
        <f t="shared" ref="A235:A240" si="49">1+A234</f>
        <v>165</v>
      </c>
      <c r="B235" s="7" t="s">
        <v>923</v>
      </c>
      <c r="C235" s="54"/>
      <c r="D235" s="55" t="str">
        <f t="shared" si="48"/>
        <v/>
      </c>
      <c r="E235" s="39"/>
    </row>
    <row r="236" spans="1:5" ht="31">
      <c r="A236" s="6">
        <f t="shared" si="49"/>
        <v>166</v>
      </c>
      <c r="B236" s="7" t="s">
        <v>924</v>
      </c>
      <c r="C236" s="54"/>
      <c r="D236" s="55" t="str">
        <f t="shared" si="48"/>
        <v/>
      </c>
      <c r="E236" s="39"/>
    </row>
    <row r="237" spans="1:5">
      <c r="A237" s="6">
        <f t="shared" si="49"/>
        <v>167</v>
      </c>
      <c r="B237" s="7" t="s">
        <v>925</v>
      </c>
      <c r="C237" s="54"/>
      <c r="D237" s="55" t="str">
        <f t="shared" si="48"/>
        <v/>
      </c>
      <c r="E237" s="39"/>
    </row>
    <row r="238" spans="1:5" ht="46.5">
      <c r="A238" s="6">
        <f t="shared" si="49"/>
        <v>168</v>
      </c>
      <c r="B238" s="7" t="s">
        <v>926</v>
      </c>
      <c r="C238" s="54"/>
      <c r="D238" s="55" t="str">
        <f t="shared" si="48"/>
        <v/>
      </c>
      <c r="E238" s="39"/>
    </row>
    <row r="239" spans="1:5">
      <c r="A239" s="6">
        <f t="shared" si="49"/>
        <v>169</v>
      </c>
      <c r="B239" s="7" t="s">
        <v>927</v>
      </c>
      <c r="C239" s="54"/>
      <c r="D239" s="55" t="str">
        <f t="shared" si="48"/>
        <v/>
      </c>
      <c r="E239" s="39"/>
    </row>
    <row r="240" spans="1:5" ht="62">
      <c r="A240" s="6">
        <f t="shared" si="49"/>
        <v>170</v>
      </c>
      <c r="B240" s="56" t="s">
        <v>928</v>
      </c>
      <c r="C240" s="54"/>
      <c r="D240" s="55" t="str">
        <f t="shared" si="48"/>
        <v/>
      </c>
      <c r="E240" s="52"/>
    </row>
    <row r="241" spans="1:5" ht="25" customHeight="1" thickBot="1">
      <c r="C241" s="16">
        <f>SUM(C233:C240)</f>
        <v>0</v>
      </c>
      <c r="D241" s="16">
        <f>+COUNT(C233:C240)*2</f>
        <v>0</v>
      </c>
      <c r="E241" s="11" t="str">
        <f>+IF(C233="","",C241/D241)</f>
        <v/>
      </c>
    </row>
    <row r="242" spans="1:5" ht="26.15" customHeight="1">
      <c r="A242" s="47" t="s">
        <v>911</v>
      </c>
      <c r="B242" s="48" t="s">
        <v>912</v>
      </c>
    </row>
    <row r="243" spans="1:5" ht="26.15" customHeight="1">
      <c r="A243" s="47" t="s">
        <v>913</v>
      </c>
      <c r="B243" s="48" t="s">
        <v>10</v>
      </c>
    </row>
    <row r="244" spans="1:5" ht="46.5">
      <c r="A244" s="6">
        <f>1+A240</f>
        <v>171</v>
      </c>
      <c r="B244" s="7" t="s">
        <v>929</v>
      </c>
      <c r="C244" s="54"/>
      <c r="D244" s="55" t="str">
        <f t="shared" ref="D244:D245" si="50">+IF(C244="","",+IF(C244=0,"No Cumple",+IF(C244=1,"Cumple Parcial",+IF(C244=2,"Cumple Completo",+IF(C244="N","NA")))))</f>
        <v/>
      </c>
      <c r="E244" s="39"/>
    </row>
    <row r="245" spans="1:5" ht="279">
      <c r="A245" s="6">
        <f>1+A244</f>
        <v>172</v>
      </c>
      <c r="B245" s="56" t="s">
        <v>935</v>
      </c>
      <c r="C245" s="54"/>
      <c r="D245" s="55" t="str">
        <f t="shared" si="50"/>
        <v/>
      </c>
      <c r="E245" s="52"/>
    </row>
    <row r="246" spans="1:5" ht="25" customHeight="1" thickBot="1">
      <c r="C246" s="16">
        <f>SUM(C244:C245)</f>
        <v>0</v>
      </c>
      <c r="D246" s="16">
        <f>+COUNT(C244:C245)*2</f>
        <v>0</v>
      </c>
      <c r="E246" s="11" t="str">
        <f>+IF(C244="","",C246/D246)</f>
        <v/>
      </c>
    </row>
    <row r="247" spans="1:5" ht="26.15" customHeight="1">
      <c r="A247" s="47" t="s">
        <v>914</v>
      </c>
      <c r="B247" s="48" t="s">
        <v>915</v>
      </c>
    </row>
    <row r="248" spans="1:5" ht="77.5">
      <c r="A248" s="6">
        <f>1+A245</f>
        <v>173</v>
      </c>
      <c r="B248" s="7" t="s">
        <v>930</v>
      </c>
      <c r="C248" s="54"/>
      <c r="D248" s="55" t="str">
        <f t="shared" ref="D248:D253" si="51">+IF(C248="","",+IF(C248=0,"No Cumple",+IF(C248=1,"Cumple Parcial",+IF(C248=2,"Cumple Completo",+IF(C248="N","NA")))))</f>
        <v/>
      </c>
      <c r="E248" s="39"/>
    </row>
    <row r="249" spans="1:5" ht="31">
      <c r="A249" s="6">
        <f>1+A248</f>
        <v>174</v>
      </c>
      <c r="B249" s="7" t="s">
        <v>931</v>
      </c>
      <c r="C249" s="54"/>
      <c r="D249" s="55" t="str">
        <f t="shared" si="51"/>
        <v/>
      </c>
      <c r="E249" s="39"/>
    </row>
    <row r="250" spans="1:5" ht="31">
      <c r="A250" s="6">
        <f t="shared" ref="A250:A253" si="52">1+A249</f>
        <v>175</v>
      </c>
      <c r="B250" s="7" t="s">
        <v>932</v>
      </c>
      <c r="C250" s="54"/>
      <c r="D250" s="55" t="str">
        <f t="shared" si="51"/>
        <v/>
      </c>
      <c r="E250" s="39"/>
    </row>
    <row r="251" spans="1:5" ht="62">
      <c r="A251" s="6">
        <f t="shared" si="52"/>
        <v>176</v>
      </c>
      <c r="B251" s="7" t="s">
        <v>933</v>
      </c>
      <c r="C251" s="54"/>
      <c r="D251" s="55" t="str">
        <f t="shared" si="51"/>
        <v/>
      </c>
      <c r="E251" s="39"/>
    </row>
    <row r="252" spans="1:5" ht="31">
      <c r="A252" s="6">
        <f t="shared" si="52"/>
        <v>177</v>
      </c>
      <c r="B252" s="57" t="s">
        <v>934</v>
      </c>
      <c r="C252" s="54"/>
      <c r="D252" s="55" t="str">
        <f t="shared" si="51"/>
        <v/>
      </c>
      <c r="E252" s="39"/>
    </row>
    <row r="253" spans="1:5" ht="124">
      <c r="A253" s="6">
        <f t="shared" si="52"/>
        <v>178</v>
      </c>
      <c r="B253" s="56" t="s">
        <v>1026</v>
      </c>
      <c r="C253" s="54"/>
      <c r="D253" s="55" t="str">
        <f t="shared" si="51"/>
        <v/>
      </c>
      <c r="E253" s="52"/>
    </row>
    <row r="254" spans="1:5" ht="25" customHeight="1" thickBot="1">
      <c r="C254" s="16">
        <f>SUM(C248:C253)</f>
        <v>0</v>
      </c>
      <c r="D254" s="16">
        <f>+COUNT(C248:C253)*2</f>
        <v>0</v>
      </c>
      <c r="E254" s="11" t="str">
        <f>+IF(C248="","",C254/D254)</f>
        <v/>
      </c>
    </row>
    <row r="255" spans="1:5" ht="26.15" customHeight="1">
      <c r="A255" s="47" t="s">
        <v>936</v>
      </c>
      <c r="B255" s="48" t="s">
        <v>937</v>
      </c>
    </row>
    <row r="256" spans="1:5" ht="93">
      <c r="A256" s="6">
        <f>1+A253</f>
        <v>179</v>
      </c>
      <c r="B256" s="7" t="s">
        <v>938</v>
      </c>
      <c r="C256" s="54"/>
      <c r="D256" s="55" t="str">
        <f t="shared" ref="D256:D258" si="53">+IF(C256="","",+IF(C256=0,"No Cumple",+IF(C256=1,"Cumple Parcial",+IF(C256=2,"Cumple Completo",+IF(C256="N","NA")))))</f>
        <v/>
      </c>
      <c r="E256" s="39"/>
    </row>
    <row r="257" spans="1:7" ht="46.5">
      <c r="A257" s="6">
        <f>1+A256</f>
        <v>180</v>
      </c>
      <c r="B257" s="57" t="s">
        <v>939</v>
      </c>
      <c r="C257" s="54"/>
      <c r="D257" s="55" t="str">
        <f t="shared" si="53"/>
        <v/>
      </c>
      <c r="E257" s="39"/>
    </row>
    <row r="258" spans="1:7" ht="186">
      <c r="A258" s="6">
        <f>1+A257</f>
        <v>181</v>
      </c>
      <c r="B258" s="56" t="s">
        <v>940</v>
      </c>
      <c r="C258" s="54"/>
      <c r="D258" s="55" t="str">
        <f t="shared" si="53"/>
        <v/>
      </c>
      <c r="E258" s="52"/>
    </row>
    <row r="259" spans="1:7" ht="25" customHeight="1" thickBot="1">
      <c r="C259" s="16">
        <f>SUM(C256:C258)</f>
        <v>0</v>
      </c>
      <c r="D259" s="16">
        <f>+COUNT(C256:C258)*2</f>
        <v>0</v>
      </c>
      <c r="E259" s="11" t="str">
        <f>+IF(C256="","",C259/D259)</f>
        <v/>
      </c>
    </row>
    <row r="260" spans="1:7" ht="26.15" customHeight="1">
      <c r="A260" s="47" t="s">
        <v>259</v>
      </c>
      <c r="B260" s="48" t="s">
        <v>941</v>
      </c>
    </row>
    <row r="261" spans="1:7" ht="93">
      <c r="A261" s="6">
        <f>1+A258</f>
        <v>182</v>
      </c>
      <c r="B261" s="7" t="s">
        <v>942</v>
      </c>
      <c r="C261" s="54"/>
      <c r="D261" s="55" t="str">
        <f t="shared" ref="D261:D269" si="54">+IF(C261="","",+IF(C261=0,"No Cumple",+IF(C261=1,"Cumple Parcial",+IF(C261=2,"Cumple Completo",+IF(C261="N","NA")))))</f>
        <v/>
      </c>
      <c r="E261" s="39"/>
    </row>
    <row r="262" spans="1:7">
      <c r="A262" s="6">
        <f>1+A261</f>
        <v>183</v>
      </c>
      <c r="B262" s="7" t="s">
        <v>943</v>
      </c>
      <c r="C262" s="54"/>
      <c r="D262" s="55" t="str">
        <f t="shared" si="54"/>
        <v/>
      </c>
      <c r="E262" s="39"/>
    </row>
    <row r="263" spans="1:7" ht="31">
      <c r="A263" s="6">
        <f t="shared" ref="A263:A269" si="55">1+A262</f>
        <v>184</v>
      </c>
      <c r="B263" s="7" t="s">
        <v>944</v>
      </c>
      <c r="C263" s="54"/>
      <c r="D263" s="55" t="str">
        <f t="shared" si="54"/>
        <v/>
      </c>
      <c r="E263" s="39"/>
    </row>
    <row r="264" spans="1:7" ht="46.5">
      <c r="A264" s="6">
        <f t="shared" si="55"/>
        <v>185</v>
      </c>
      <c r="B264" s="7" t="s">
        <v>945</v>
      </c>
      <c r="C264" s="54"/>
      <c r="D264" s="55" t="str">
        <f t="shared" si="54"/>
        <v/>
      </c>
      <c r="E264" s="39"/>
    </row>
    <row r="265" spans="1:7" ht="31">
      <c r="A265" s="6">
        <f t="shared" si="55"/>
        <v>186</v>
      </c>
      <c r="B265" s="7" t="s">
        <v>946</v>
      </c>
      <c r="C265" s="54"/>
      <c r="D265" s="55" t="str">
        <f t="shared" si="54"/>
        <v/>
      </c>
      <c r="E265" s="39"/>
    </row>
    <row r="266" spans="1:7" ht="46.5">
      <c r="A266" s="6">
        <f t="shared" si="55"/>
        <v>187</v>
      </c>
      <c r="B266" s="7" t="s">
        <v>947</v>
      </c>
      <c r="C266" s="54"/>
      <c r="D266" s="55" t="str">
        <f t="shared" si="54"/>
        <v/>
      </c>
      <c r="E266" s="39"/>
    </row>
    <row r="267" spans="1:7" ht="46.5">
      <c r="A267" s="6">
        <f t="shared" si="55"/>
        <v>188</v>
      </c>
      <c r="B267" s="17" t="s">
        <v>948</v>
      </c>
      <c r="C267" s="54"/>
      <c r="D267" s="55" t="str">
        <f t="shared" si="54"/>
        <v/>
      </c>
      <c r="E267" s="52"/>
    </row>
    <row r="268" spans="1:7" ht="46.5">
      <c r="A268" s="6">
        <f t="shared" si="55"/>
        <v>189</v>
      </c>
      <c r="B268" s="17" t="s">
        <v>949</v>
      </c>
      <c r="C268" s="54"/>
      <c r="D268" s="55" t="str">
        <f t="shared" si="54"/>
        <v/>
      </c>
      <c r="E268" s="52"/>
    </row>
    <row r="269" spans="1:7" ht="93">
      <c r="A269" s="6">
        <f t="shared" si="55"/>
        <v>190</v>
      </c>
      <c r="B269" s="56" t="s">
        <v>950</v>
      </c>
      <c r="C269" s="54"/>
      <c r="D269" s="55" t="str">
        <f t="shared" si="54"/>
        <v/>
      </c>
      <c r="E269" s="52"/>
    </row>
    <row r="270" spans="1:7" ht="25" customHeight="1" thickBot="1">
      <c r="C270" s="16">
        <f>SUM(C261:C269)</f>
        <v>0</v>
      </c>
      <c r="D270" s="16">
        <f>+COUNT(C261:C269)*2</f>
        <v>0</v>
      </c>
      <c r="E270" s="11" t="str">
        <f>+IF(C261="","",C270/D270)</f>
        <v/>
      </c>
      <c r="G270" s="29" t="str">
        <f>+IF(E222="","",+AVERAGE(E222,E231,E241,E246,E254,E259,E270))</f>
        <v/>
      </c>
    </row>
    <row r="271" spans="1:7" ht="25" customHeight="1">
      <c r="A271" s="63">
        <v>9</v>
      </c>
      <c r="B271" s="64" t="s">
        <v>420</v>
      </c>
    </row>
    <row r="272" spans="1:7" ht="26.15" customHeight="1">
      <c r="A272" s="47" t="s">
        <v>421</v>
      </c>
      <c r="B272" s="48" t="s">
        <v>951</v>
      </c>
    </row>
    <row r="273" spans="1:5" ht="26.15" customHeight="1">
      <c r="A273" s="47" t="s">
        <v>422</v>
      </c>
      <c r="B273" s="48" t="s">
        <v>10</v>
      </c>
    </row>
    <row r="274" spans="1:5" ht="31">
      <c r="A274" s="6">
        <f>1+A269</f>
        <v>191</v>
      </c>
      <c r="B274" s="7" t="s">
        <v>952</v>
      </c>
      <c r="C274" s="54"/>
      <c r="D274" s="55" t="str">
        <f t="shared" ref="D274:D283" si="56">+IF(C274="","",+IF(C274=0,"No Cumple",+IF(C274=1,"Cumple Parcial",+IF(C274=2,"Cumple Completo",+IF(C274="N","NA")))))</f>
        <v/>
      </c>
      <c r="E274" s="39"/>
    </row>
    <row r="275" spans="1:5" ht="108.5">
      <c r="A275" s="6">
        <f>1+A274</f>
        <v>192</v>
      </c>
      <c r="B275" s="7" t="s">
        <v>953</v>
      </c>
      <c r="C275" s="54"/>
      <c r="D275" s="55" t="str">
        <f t="shared" si="56"/>
        <v/>
      </c>
      <c r="E275" s="39"/>
    </row>
    <row r="276" spans="1:5" ht="31">
      <c r="A276" s="6">
        <f t="shared" ref="A276:A283" si="57">1+A275</f>
        <v>193</v>
      </c>
      <c r="B276" s="7" t="s">
        <v>954</v>
      </c>
      <c r="C276" s="54"/>
      <c r="D276" s="55" t="str">
        <f t="shared" si="56"/>
        <v/>
      </c>
      <c r="E276" s="39"/>
    </row>
    <row r="277" spans="1:5" ht="31">
      <c r="A277" s="6">
        <f t="shared" si="57"/>
        <v>194</v>
      </c>
      <c r="B277" s="7" t="s">
        <v>955</v>
      </c>
      <c r="C277" s="54"/>
      <c r="D277" s="55" t="str">
        <f t="shared" si="56"/>
        <v/>
      </c>
      <c r="E277" s="39"/>
    </row>
    <row r="278" spans="1:5">
      <c r="A278" s="6">
        <f t="shared" si="57"/>
        <v>195</v>
      </c>
      <c r="B278" s="7" t="s">
        <v>956</v>
      </c>
      <c r="C278" s="54"/>
      <c r="D278" s="55" t="str">
        <f t="shared" si="56"/>
        <v/>
      </c>
      <c r="E278" s="39"/>
    </row>
    <row r="279" spans="1:5" ht="31">
      <c r="A279" s="6">
        <f t="shared" si="57"/>
        <v>196</v>
      </c>
      <c r="B279" s="7" t="s">
        <v>957</v>
      </c>
      <c r="C279" s="54"/>
      <c r="D279" s="55" t="str">
        <f t="shared" si="56"/>
        <v/>
      </c>
      <c r="E279" s="39"/>
    </row>
    <row r="280" spans="1:5" ht="46.5">
      <c r="A280" s="6">
        <f t="shared" si="57"/>
        <v>197</v>
      </c>
      <c r="B280" s="17" t="s">
        <v>958</v>
      </c>
      <c r="C280" s="54"/>
      <c r="D280" s="55" t="str">
        <f t="shared" si="56"/>
        <v/>
      </c>
      <c r="E280" s="52"/>
    </row>
    <row r="281" spans="1:5" ht="46.5">
      <c r="A281" s="6">
        <f t="shared" si="57"/>
        <v>198</v>
      </c>
      <c r="B281" s="59" t="s">
        <v>959</v>
      </c>
      <c r="C281" s="54"/>
      <c r="D281" s="55" t="str">
        <f t="shared" si="56"/>
        <v/>
      </c>
      <c r="E281" s="52"/>
    </row>
    <row r="282" spans="1:5" ht="77.5">
      <c r="A282" s="6">
        <f t="shared" si="57"/>
        <v>199</v>
      </c>
      <c r="B282" s="17" t="s">
        <v>960</v>
      </c>
      <c r="C282" s="54"/>
      <c r="D282" s="55" t="str">
        <f t="shared" si="56"/>
        <v/>
      </c>
      <c r="E282" s="52"/>
    </row>
    <row r="283" spans="1:5" ht="77.5">
      <c r="A283" s="6">
        <f t="shared" si="57"/>
        <v>200</v>
      </c>
      <c r="B283" s="56" t="s">
        <v>1027</v>
      </c>
      <c r="C283" s="54"/>
      <c r="D283" s="55" t="str">
        <f t="shared" si="56"/>
        <v/>
      </c>
      <c r="E283" s="52"/>
    </row>
    <row r="284" spans="1:5" ht="25" customHeight="1" thickBot="1">
      <c r="C284" s="16">
        <f>SUM(C274:C283)</f>
        <v>0</v>
      </c>
      <c r="D284" s="16">
        <f>+COUNT(C274:C283)*2</f>
        <v>0</v>
      </c>
      <c r="E284" s="11" t="str">
        <f>+IF(C274="","",C284/D284)</f>
        <v/>
      </c>
    </row>
    <row r="285" spans="1:5" ht="26.15" customHeight="1">
      <c r="A285" s="47" t="s">
        <v>430</v>
      </c>
      <c r="B285" s="48" t="s">
        <v>961</v>
      </c>
    </row>
    <row r="286" spans="1:5" ht="46.5">
      <c r="A286" s="6">
        <f>1+A283</f>
        <v>201</v>
      </c>
      <c r="B286" s="7" t="s">
        <v>962</v>
      </c>
      <c r="C286" s="54"/>
      <c r="D286" s="55" t="str">
        <f t="shared" ref="D286:D291" si="58">+IF(C286="","",+IF(C286=0,"No Cumple",+IF(C286=1,"Cumple Parcial",+IF(C286=2,"Cumple Completo",+IF(C286="N","NA")))))</f>
        <v/>
      </c>
      <c r="E286" s="39"/>
    </row>
    <row r="287" spans="1:5" ht="46.5">
      <c r="A287" s="6">
        <f>1+A286</f>
        <v>202</v>
      </c>
      <c r="B287" s="7" t="s">
        <v>963</v>
      </c>
      <c r="C287" s="54"/>
      <c r="D287" s="55" t="str">
        <f t="shared" si="58"/>
        <v/>
      </c>
      <c r="E287" s="39"/>
    </row>
    <row r="288" spans="1:5">
      <c r="A288" s="6">
        <f t="shared" ref="A288:A291" si="59">1+A287</f>
        <v>203</v>
      </c>
      <c r="B288" s="7" t="s">
        <v>964</v>
      </c>
      <c r="C288" s="54"/>
      <c r="D288" s="55" t="str">
        <f t="shared" si="58"/>
        <v/>
      </c>
      <c r="E288" s="39"/>
    </row>
    <row r="289" spans="1:5" ht="31">
      <c r="A289" s="6">
        <f t="shared" si="59"/>
        <v>204</v>
      </c>
      <c r="B289" s="7" t="s">
        <v>965</v>
      </c>
      <c r="C289" s="54"/>
      <c r="D289" s="55" t="str">
        <f t="shared" si="58"/>
        <v/>
      </c>
      <c r="E289" s="39"/>
    </row>
    <row r="290" spans="1:5" ht="31">
      <c r="A290" s="6">
        <f t="shared" si="59"/>
        <v>205</v>
      </c>
      <c r="B290" s="7" t="s">
        <v>966</v>
      </c>
      <c r="C290" s="54"/>
      <c r="D290" s="55" t="str">
        <f t="shared" si="58"/>
        <v/>
      </c>
      <c r="E290" s="39"/>
    </row>
    <row r="291" spans="1:5" ht="46.5">
      <c r="A291" s="6">
        <f t="shared" si="59"/>
        <v>206</v>
      </c>
      <c r="B291" s="56" t="s">
        <v>967</v>
      </c>
      <c r="C291" s="54"/>
      <c r="D291" s="55" t="str">
        <f t="shared" si="58"/>
        <v/>
      </c>
      <c r="E291" s="52"/>
    </row>
    <row r="292" spans="1:5" ht="25" customHeight="1" thickBot="1">
      <c r="C292" s="16">
        <f>SUM(C286:C291)</f>
        <v>0</v>
      </c>
      <c r="D292" s="16">
        <f>+COUNT(C286:C291)*2</f>
        <v>0</v>
      </c>
      <c r="E292" s="11" t="str">
        <f>+IF(C286="","",C292/D292)</f>
        <v/>
      </c>
    </row>
    <row r="293" spans="1:5" ht="26.15" customHeight="1">
      <c r="A293" s="47" t="s">
        <v>442</v>
      </c>
      <c r="B293" s="48" t="s">
        <v>968</v>
      </c>
    </row>
    <row r="294" spans="1:5" ht="26.15" customHeight="1">
      <c r="A294" s="47" t="s">
        <v>445</v>
      </c>
      <c r="B294" s="48" t="s">
        <v>10</v>
      </c>
    </row>
    <row r="295" spans="1:5" ht="93">
      <c r="A295" s="6">
        <f>1+A291</f>
        <v>207</v>
      </c>
      <c r="B295" s="7" t="s">
        <v>969</v>
      </c>
      <c r="C295" s="54"/>
      <c r="D295" s="55" t="str">
        <f t="shared" ref="D295:D297" si="60">+IF(C295="","",+IF(C295=0,"No Cumple",+IF(C295=1,"Cumple Parcial",+IF(C295=2,"Cumple Completo",+IF(C295="N","NA")))))</f>
        <v/>
      </c>
      <c r="E295" s="39"/>
    </row>
    <row r="296" spans="1:5">
      <c r="A296" s="6">
        <f>1+A295</f>
        <v>208</v>
      </c>
      <c r="B296" s="7" t="s">
        <v>450</v>
      </c>
      <c r="C296" s="54"/>
      <c r="D296" s="55" t="str">
        <f t="shared" si="60"/>
        <v/>
      </c>
      <c r="E296" s="39"/>
    </row>
    <row r="297" spans="1:5" ht="31">
      <c r="A297" s="6">
        <f>1+A296</f>
        <v>209</v>
      </c>
      <c r="B297" s="56" t="s">
        <v>970</v>
      </c>
      <c r="C297" s="54"/>
      <c r="D297" s="55" t="str">
        <f t="shared" si="60"/>
        <v/>
      </c>
      <c r="E297" s="52"/>
    </row>
    <row r="298" spans="1:5" ht="25" customHeight="1" thickBot="1">
      <c r="C298" s="16">
        <f>SUM(C295:C297)</f>
        <v>0</v>
      </c>
      <c r="D298" s="16">
        <f>+COUNT(C295:C297)*2</f>
        <v>0</v>
      </c>
      <c r="E298" s="11" t="str">
        <f>+IF(C295="","",C298/D298)</f>
        <v/>
      </c>
    </row>
    <row r="299" spans="1:5" ht="26.15" customHeight="1">
      <c r="A299" s="47" t="s">
        <v>451</v>
      </c>
      <c r="B299" s="48" t="s">
        <v>971</v>
      </c>
    </row>
    <row r="300" spans="1:5" ht="93">
      <c r="A300" s="6">
        <f>1+A297</f>
        <v>210</v>
      </c>
      <c r="B300" s="7" t="s">
        <v>972</v>
      </c>
      <c r="C300" s="54"/>
      <c r="D300" s="55" t="str">
        <f t="shared" ref="D300:D307" si="61">+IF(C300="","",+IF(C300=0,"No Cumple",+IF(C300=1,"Cumple Parcial",+IF(C300=2,"Cumple Completo",+IF(C300="N","NA")))))</f>
        <v/>
      </c>
      <c r="E300" s="39"/>
    </row>
    <row r="301" spans="1:5">
      <c r="A301" s="6">
        <f>1+A300</f>
        <v>211</v>
      </c>
      <c r="B301" s="7" t="s">
        <v>973</v>
      </c>
      <c r="C301" s="54"/>
      <c r="D301" s="55" t="str">
        <f t="shared" si="61"/>
        <v/>
      </c>
      <c r="E301" s="39"/>
    </row>
    <row r="302" spans="1:5" ht="31">
      <c r="A302" s="6">
        <f t="shared" ref="A302:A307" si="62">1+A301</f>
        <v>212</v>
      </c>
      <c r="B302" s="7" t="s">
        <v>974</v>
      </c>
      <c r="C302" s="54"/>
      <c r="D302" s="55" t="str">
        <f t="shared" si="61"/>
        <v/>
      </c>
      <c r="E302" s="39"/>
    </row>
    <row r="303" spans="1:5" ht="77.5">
      <c r="A303" s="6">
        <f t="shared" si="62"/>
        <v>213</v>
      </c>
      <c r="B303" s="7" t="s">
        <v>975</v>
      </c>
      <c r="C303" s="54"/>
      <c r="D303" s="55" t="str">
        <f t="shared" si="61"/>
        <v/>
      </c>
      <c r="E303" s="39"/>
    </row>
    <row r="304" spans="1:5" ht="31">
      <c r="A304" s="6">
        <f t="shared" si="62"/>
        <v>214</v>
      </c>
      <c r="B304" s="7" t="s">
        <v>976</v>
      </c>
      <c r="C304" s="54"/>
      <c r="D304" s="55" t="str">
        <f t="shared" si="61"/>
        <v/>
      </c>
      <c r="E304" s="39"/>
    </row>
    <row r="305" spans="1:5" ht="46.5">
      <c r="A305" s="6">
        <f t="shared" si="62"/>
        <v>215</v>
      </c>
      <c r="B305" s="7" t="s">
        <v>977</v>
      </c>
      <c r="C305" s="54"/>
      <c r="D305" s="55" t="str">
        <f t="shared" si="61"/>
        <v/>
      </c>
      <c r="E305" s="39"/>
    </row>
    <row r="306" spans="1:5" ht="31">
      <c r="A306" s="6">
        <f t="shared" si="62"/>
        <v>216</v>
      </c>
      <c r="B306" s="17" t="s">
        <v>978</v>
      </c>
      <c r="C306" s="54"/>
      <c r="D306" s="55" t="str">
        <f t="shared" si="61"/>
        <v/>
      </c>
      <c r="E306" s="52"/>
    </row>
    <row r="307" spans="1:5" ht="62">
      <c r="A307" s="6">
        <f t="shared" si="62"/>
        <v>217</v>
      </c>
      <c r="B307" s="56" t="s">
        <v>979</v>
      </c>
      <c r="C307" s="54"/>
      <c r="D307" s="55" t="str">
        <f t="shared" si="61"/>
        <v/>
      </c>
      <c r="E307" s="52"/>
    </row>
    <row r="308" spans="1:5" ht="25" customHeight="1" thickBot="1">
      <c r="C308" s="16">
        <f>SUM(C300:C307)</f>
        <v>0</v>
      </c>
      <c r="D308" s="16">
        <f>+COUNT(C300:C307)*2</f>
        <v>0</v>
      </c>
      <c r="E308" s="11" t="str">
        <f>+IF(C300="","",C308/D308)</f>
        <v/>
      </c>
    </row>
    <row r="309" spans="1:5" ht="26.15" customHeight="1">
      <c r="A309" s="47" t="s">
        <v>458</v>
      </c>
      <c r="B309" s="48" t="s">
        <v>980</v>
      </c>
    </row>
    <row r="310" spans="1:5" ht="46.5">
      <c r="A310" s="6">
        <f>1+A307</f>
        <v>218</v>
      </c>
      <c r="B310" s="7" t="s">
        <v>981</v>
      </c>
      <c r="C310" s="54"/>
      <c r="D310" s="55" t="str">
        <f t="shared" ref="D310:D321" si="63">+IF(C310="","",+IF(C310=0,"No Cumple",+IF(C310=1,"Cumple Parcial",+IF(C310=2,"Cumple Completo",+IF(C310="N","NA")))))</f>
        <v/>
      </c>
      <c r="E310" s="39"/>
    </row>
    <row r="311" spans="1:5" ht="31">
      <c r="A311" s="6">
        <f>1+A310</f>
        <v>219</v>
      </c>
      <c r="B311" s="7" t="s">
        <v>982</v>
      </c>
      <c r="C311" s="54"/>
      <c r="D311" s="55" t="str">
        <f t="shared" si="63"/>
        <v/>
      </c>
      <c r="E311" s="39"/>
    </row>
    <row r="312" spans="1:5" ht="77.5">
      <c r="A312" s="6">
        <f t="shared" ref="A312:A316" si="64">1+A311</f>
        <v>220</v>
      </c>
      <c r="B312" s="7" t="s">
        <v>983</v>
      </c>
      <c r="C312" s="54"/>
      <c r="D312" s="55" t="str">
        <f t="shared" si="63"/>
        <v/>
      </c>
      <c r="E312" s="39"/>
    </row>
    <row r="313" spans="1:5" ht="31">
      <c r="A313" s="6">
        <f t="shared" si="64"/>
        <v>221</v>
      </c>
      <c r="B313" s="7" t="s">
        <v>984</v>
      </c>
      <c r="C313" s="54"/>
      <c r="D313" s="55" t="str">
        <f t="shared" si="63"/>
        <v/>
      </c>
      <c r="E313" s="39"/>
    </row>
    <row r="314" spans="1:5" ht="139.5">
      <c r="A314" s="6">
        <f t="shared" si="64"/>
        <v>222</v>
      </c>
      <c r="B314" s="7" t="s">
        <v>985</v>
      </c>
      <c r="C314" s="54"/>
      <c r="D314" s="55" t="str">
        <f t="shared" si="63"/>
        <v/>
      </c>
      <c r="E314" s="39"/>
    </row>
    <row r="315" spans="1:5">
      <c r="A315" s="6">
        <f t="shared" si="64"/>
        <v>223</v>
      </c>
      <c r="B315" s="7" t="s">
        <v>986</v>
      </c>
      <c r="C315" s="54"/>
      <c r="D315" s="55" t="str">
        <f t="shared" si="63"/>
        <v/>
      </c>
      <c r="E315" s="39"/>
    </row>
    <row r="316" spans="1:5">
      <c r="A316" s="6">
        <f t="shared" si="64"/>
        <v>224</v>
      </c>
      <c r="B316" s="7" t="s">
        <v>987</v>
      </c>
      <c r="C316" s="54"/>
      <c r="D316" s="55" t="str">
        <f t="shared" si="63"/>
        <v/>
      </c>
      <c r="E316" s="39"/>
    </row>
    <row r="317" spans="1:5">
      <c r="A317" s="6">
        <f t="shared" ref="A317:A321" si="65">1+A316</f>
        <v>225</v>
      </c>
      <c r="B317" s="7" t="s">
        <v>988</v>
      </c>
      <c r="C317" s="54"/>
      <c r="D317" s="55" t="str">
        <f t="shared" si="63"/>
        <v/>
      </c>
      <c r="E317" s="39"/>
    </row>
    <row r="318" spans="1:5" ht="170.5">
      <c r="A318" s="6">
        <f t="shared" si="65"/>
        <v>226</v>
      </c>
      <c r="B318" s="7" t="s">
        <v>989</v>
      </c>
      <c r="C318" s="54"/>
      <c r="D318" s="55" t="str">
        <f t="shared" si="63"/>
        <v/>
      </c>
      <c r="E318" s="39"/>
    </row>
    <row r="319" spans="1:5" ht="46.5">
      <c r="A319" s="6">
        <f t="shared" si="65"/>
        <v>227</v>
      </c>
      <c r="B319" s="7" t="s">
        <v>990</v>
      </c>
      <c r="C319" s="54"/>
      <c r="D319" s="55" t="str">
        <f t="shared" si="63"/>
        <v/>
      </c>
      <c r="E319" s="39"/>
    </row>
    <row r="320" spans="1:5" ht="31">
      <c r="A320" s="6">
        <f t="shared" si="65"/>
        <v>228</v>
      </c>
      <c r="B320" s="7" t="s">
        <v>991</v>
      </c>
      <c r="C320" s="54"/>
      <c r="D320" s="55" t="str">
        <f t="shared" si="63"/>
        <v/>
      </c>
      <c r="E320" s="39"/>
    </row>
    <row r="321" spans="1:7" ht="62">
      <c r="A321" s="6">
        <f t="shared" si="65"/>
        <v>229</v>
      </c>
      <c r="B321" s="56" t="s">
        <v>992</v>
      </c>
      <c r="C321" s="54"/>
      <c r="D321" s="55" t="str">
        <f t="shared" si="63"/>
        <v/>
      </c>
      <c r="E321" s="52"/>
    </row>
    <row r="322" spans="1:7" ht="25" customHeight="1" thickBot="1">
      <c r="C322" s="16">
        <f>SUM(C310:C321)</f>
        <v>0</v>
      </c>
      <c r="D322" s="16">
        <f>+COUNT(C310:C321)*2</f>
        <v>0</v>
      </c>
      <c r="E322" s="11" t="str">
        <f>+IF(C310="","",C322/D322)</f>
        <v/>
      </c>
      <c r="G322" s="29" t="str">
        <f>+IF(E284="","",+AVERAGE(E284,E292,E298,E308,E322))</f>
        <v/>
      </c>
    </row>
    <row r="323" spans="1:7" ht="25" customHeight="1">
      <c r="A323" s="63">
        <v>10</v>
      </c>
      <c r="B323" s="64" t="s">
        <v>482</v>
      </c>
    </row>
    <row r="324" spans="1:7" ht="26.15" customHeight="1">
      <c r="A324" s="47" t="s">
        <v>483</v>
      </c>
      <c r="B324" s="48" t="s">
        <v>10</v>
      </c>
    </row>
    <row r="325" spans="1:7" ht="46.5">
      <c r="A325" s="6">
        <f>1+A321</f>
        <v>230</v>
      </c>
      <c r="B325" s="7" t="s">
        <v>993</v>
      </c>
      <c r="C325" s="54"/>
      <c r="D325" s="55" t="str">
        <f t="shared" ref="D325:D326" si="66">+IF(C325="","",+IF(C325=0,"No Cumple",+IF(C325=1,"Cumple Parcial",+IF(C325=2,"Cumple Completo",+IF(C325="N","NA")))))</f>
        <v/>
      </c>
      <c r="E325" s="39"/>
    </row>
    <row r="326" spans="1:7" ht="31">
      <c r="A326" s="6">
        <f>1+A325</f>
        <v>231</v>
      </c>
      <c r="B326" s="56" t="s">
        <v>994</v>
      </c>
      <c r="C326" s="54"/>
      <c r="D326" s="55" t="str">
        <f t="shared" si="66"/>
        <v/>
      </c>
      <c r="E326" s="52"/>
    </row>
    <row r="327" spans="1:7" ht="25" customHeight="1" thickBot="1">
      <c r="C327" s="16">
        <f>SUM(C325:C326)</f>
        <v>0</v>
      </c>
      <c r="D327" s="16">
        <f>+COUNT(C325:C326)*2</f>
        <v>0</v>
      </c>
      <c r="E327" s="11" t="str">
        <f>+IF(C325="","",C327/D327)</f>
        <v/>
      </c>
    </row>
    <row r="328" spans="1:7" ht="26.15" customHeight="1">
      <c r="A328" s="47" t="s">
        <v>995</v>
      </c>
      <c r="B328" s="48" t="s">
        <v>996</v>
      </c>
    </row>
    <row r="329" spans="1:7" ht="46.5">
      <c r="A329" s="6">
        <f>1+A326</f>
        <v>232</v>
      </c>
      <c r="B329" s="7" t="s">
        <v>997</v>
      </c>
      <c r="C329" s="54"/>
      <c r="D329" s="55" t="str">
        <f t="shared" ref="D329:D341" si="67">+IF(C329="","",+IF(C329=0,"No Cumple",+IF(C329=1,"Cumple Parcial",+IF(C329=2,"Cumple Completo",+IF(C329="N","NA")))))</f>
        <v/>
      </c>
      <c r="E329" s="39"/>
    </row>
    <row r="330" spans="1:7" ht="77.5">
      <c r="A330" s="6">
        <f>1+A329</f>
        <v>233</v>
      </c>
      <c r="B330" s="7" t="s">
        <v>998</v>
      </c>
      <c r="C330" s="54"/>
      <c r="D330" s="55" t="str">
        <f t="shared" si="67"/>
        <v/>
      </c>
      <c r="E330" s="39"/>
    </row>
    <row r="331" spans="1:7" ht="139.5">
      <c r="A331" s="6">
        <f t="shared" ref="A331:A341" si="68">1+A330</f>
        <v>234</v>
      </c>
      <c r="B331" s="7" t="s">
        <v>999</v>
      </c>
      <c r="C331" s="54"/>
      <c r="D331" s="55" t="str">
        <f t="shared" si="67"/>
        <v/>
      </c>
      <c r="E331" s="39"/>
    </row>
    <row r="332" spans="1:7" ht="31">
      <c r="A332" s="6">
        <f t="shared" si="68"/>
        <v>235</v>
      </c>
      <c r="B332" s="7" t="s">
        <v>1000</v>
      </c>
      <c r="C332" s="54"/>
      <c r="D332" s="55" t="str">
        <f t="shared" si="67"/>
        <v/>
      </c>
      <c r="E332" s="39"/>
    </row>
    <row r="333" spans="1:7" ht="46.5">
      <c r="A333" s="6">
        <f t="shared" si="68"/>
        <v>236</v>
      </c>
      <c r="B333" s="7" t="s">
        <v>1001</v>
      </c>
      <c r="C333" s="54"/>
      <c r="D333" s="55" t="str">
        <f t="shared" si="67"/>
        <v/>
      </c>
      <c r="E333" s="39"/>
    </row>
    <row r="334" spans="1:7" ht="31">
      <c r="A334" s="6">
        <f t="shared" si="68"/>
        <v>237</v>
      </c>
      <c r="B334" s="7" t="s">
        <v>1002</v>
      </c>
      <c r="C334" s="54"/>
      <c r="D334" s="55" t="str">
        <f t="shared" si="67"/>
        <v/>
      </c>
      <c r="E334" s="39"/>
    </row>
    <row r="335" spans="1:7" ht="31">
      <c r="A335" s="6">
        <f t="shared" si="68"/>
        <v>238</v>
      </c>
      <c r="B335" s="17" t="s">
        <v>1003</v>
      </c>
      <c r="C335" s="54"/>
      <c r="D335" s="55" t="str">
        <f t="shared" si="67"/>
        <v/>
      </c>
      <c r="E335" s="52"/>
    </row>
    <row r="336" spans="1:7">
      <c r="A336" s="6">
        <f t="shared" si="68"/>
        <v>239</v>
      </c>
      <c r="B336" s="17" t="s">
        <v>1004</v>
      </c>
      <c r="C336" s="54"/>
      <c r="D336" s="55" t="str">
        <f t="shared" si="67"/>
        <v/>
      </c>
      <c r="E336" s="52"/>
    </row>
    <row r="337" spans="1:7" ht="31">
      <c r="A337" s="6">
        <f t="shared" si="68"/>
        <v>240</v>
      </c>
      <c r="B337" s="17" t="s">
        <v>1005</v>
      </c>
      <c r="C337" s="54"/>
      <c r="D337" s="55" t="str">
        <f t="shared" si="67"/>
        <v/>
      </c>
      <c r="E337" s="52"/>
    </row>
    <row r="338" spans="1:7" ht="93">
      <c r="A338" s="6">
        <f t="shared" si="68"/>
        <v>241</v>
      </c>
      <c r="B338" s="17" t="s">
        <v>1006</v>
      </c>
      <c r="C338" s="54"/>
      <c r="D338" s="55" t="str">
        <f t="shared" si="67"/>
        <v/>
      </c>
      <c r="E338" s="52"/>
    </row>
    <row r="339" spans="1:7" ht="46.5">
      <c r="A339" s="6">
        <f t="shared" si="68"/>
        <v>242</v>
      </c>
      <c r="B339" s="17" t="s">
        <v>1007</v>
      </c>
      <c r="C339" s="54"/>
      <c r="D339" s="55" t="str">
        <f t="shared" si="67"/>
        <v/>
      </c>
      <c r="E339" s="52"/>
    </row>
    <row r="340" spans="1:7" ht="46.5">
      <c r="A340" s="6">
        <f t="shared" si="68"/>
        <v>243</v>
      </c>
      <c r="B340" s="59" t="s">
        <v>1008</v>
      </c>
      <c r="C340" s="54"/>
      <c r="D340" s="55" t="str">
        <f t="shared" si="67"/>
        <v/>
      </c>
      <c r="E340" s="52"/>
    </row>
    <row r="341" spans="1:7" ht="248">
      <c r="A341" s="6">
        <f t="shared" si="68"/>
        <v>244</v>
      </c>
      <c r="B341" s="56" t="s">
        <v>1009</v>
      </c>
      <c r="C341" s="54"/>
      <c r="D341" s="55" t="str">
        <f t="shared" si="67"/>
        <v/>
      </c>
      <c r="E341" s="52"/>
    </row>
    <row r="342" spans="1:7" ht="25" customHeight="1" thickBot="1">
      <c r="C342" s="16">
        <f>SUM(C329:C341)</f>
        <v>0</v>
      </c>
      <c r="D342" s="16">
        <f>+COUNT(C329:C341)*2</f>
        <v>0</v>
      </c>
      <c r="E342" s="11" t="str">
        <f>+IF(C329="","",C342/D342)</f>
        <v/>
      </c>
    </row>
    <row r="343" spans="1:7" ht="26.15" customHeight="1">
      <c r="A343" s="47" t="s">
        <v>508</v>
      </c>
      <c r="B343" s="48" t="s">
        <v>509</v>
      </c>
    </row>
    <row r="344" spans="1:7" ht="46.5">
      <c r="A344" s="6">
        <f>1+A341</f>
        <v>245</v>
      </c>
      <c r="B344" s="7" t="s">
        <v>1010</v>
      </c>
      <c r="C344" s="54"/>
      <c r="D344" s="55" t="str">
        <f t="shared" ref="D344:D349" si="69">+IF(C344="","",+IF(C344=0,"No Cumple",+IF(C344=1,"Cumple Parcial",+IF(C344=2,"Cumple Completo",+IF(C344="N","NA")))))</f>
        <v/>
      </c>
      <c r="E344" s="39"/>
    </row>
    <row r="345" spans="1:7">
      <c r="A345" s="6">
        <f>1+A344</f>
        <v>246</v>
      </c>
      <c r="B345" s="7" t="s">
        <v>1011</v>
      </c>
      <c r="C345" s="54"/>
      <c r="D345" s="55" t="str">
        <f t="shared" si="69"/>
        <v/>
      </c>
      <c r="E345" s="39"/>
    </row>
    <row r="346" spans="1:7" ht="31">
      <c r="A346" s="6">
        <f t="shared" ref="A346:A349" si="70">1+A345</f>
        <v>247</v>
      </c>
      <c r="B346" s="7" t="s">
        <v>1012</v>
      </c>
      <c r="C346" s="54"/>
      <c r="D346" s="55" t="str">
        <f t="shared" si="69"/>
        <v/>
      </c>
      <c r="E346" s="39"/>
    </row>
    <row r="347" spans="1:7" ht="31">
      <c r="A347" s="6">
        <f t="shared" si="70"/>
        <v>248</v>
      </c>
      <c r="B347" s="7" t="s">
        <v>1013</v>
      </c>
      <c r="C347" s="54"/>
      <c r="D347" s="55" t="str">
        <f t="shared" si="69"/>
        <v/>
      </c>
      <c r="E347" s="39"/>
    </row>
    <row r="348" spans="1:7" ht="31">
      <c r="A348" s="6">
        <f t="shared" si="70"/>
        <v>249</v>
      </c>
      <c r="B348" s="7" t="s">
        <v>1014</v>
      </c>
      <c r="C348" s="54"/>
      <c r="D348" s="55" t="str">
        <f t="shared" si="69"/>
        <v/>
      </c>
      <c r="E348" s="39"/>
    </row>
    <row r="349" spans="1:7" ht="139.5">
      <c r="A349" s="6">
        <f t="shared" si="70"/>
        <v>250</v>
      </c>
      <c r="B349" s="56" t="s">
        <v>1028</v>
      </c>
      <c r="C349" s="54"/>
      <c r="D349" s="55" t="str">
        <f t="shared" si="69"/>
        <v/>
      </c>
      <c r="E349" s="52"/>
    </row>
    <row r="350" spans="1:7" ht="25" customHeight="1" thickBot="1">
      <c r="C350" s="16">
        <f>SUM(C344:C349)</f>
        <v>0</v>
      </c>
      <c r="D350" s="16">
        <f>+COUNT(C344:C349)*2</f>
        <v>0</v>
      </c>
      <c r="E350" s="11" t="str">
        <f>+IF(C344="","",C350/D350)</f>
        <v/>
      </c>
      <c r="G350" s="29" t="str">
        <f>+IF(E327="","",+AVERAGE(E327,E342,E350))</f>
        <v/>
      </c>
    </row>
  </sheetData>
  <conditionalFormatting sqref="E6">
    <cfRule type="cellIs" dxfId="187" priority="122" operator="between">
      <formula>0.75</formula>
      <formula>95.9999</formula>
    </cfRule>
    <cfRule type="cellIs" dxfId="186" priority="121" operator="between">
      <formula>0.96</formula>
      <formula>1</formula>
    </cfRule>
    <cfRule type="cellIs" dxfId="185" priority="124" operator="between">
      <formula>0</formula>
      <formula>59.9999%</formula>
    </cfRule>
    <cfRule type="cellIs" dxfId="184" priority="123" operator="between">
      <formula>0.6</formula>
      <formula>74.9999%</formula>
    </cfRule>
  </conditionalFormatting>
  <conditionalFormatting sqref="E12">
    <cfRule type="cellIs" dxfId="183" priority="242" operator="between">
      <formula>0.75</formula>
      <formula>95.9999</formula>
    </cfRule>
    <cfRule type="cellIs" dxfId="182" priority="243" operator="between">
      <formula>0.6</formula>
      <formula>74.9999%</formula>
    </cfRule>
    <cfRule type="cellIs" dxfId="181" priority="244" operator="between">
      <formula>0</formula>
      <formula>59.9999%</formula>
    </cfRule>
    <cfRule type="cellIs" dxfId="180" priority="241" operator="between">
      <formula>0.96</formula>
      <formula>1</formula>
    </cfRule>
  </conditionalFormatting>
  <conditionalFormatting sqref="E21">
    <cfRule type="cellIs" dxfId="179" priority="239" operator="between">
      <formula>0.6</formula>
      <formula>74.9999%</formula>
    </cfRule>
    <cfRule type="cellIs" dxfId="178" priority="240" operator="between">
      <formula>0</formula>
      <formula>59.9999%</formula>
    </cfRule>
    <cfRule type="cellIs" dxfId="177" priority="237" operator="between">
      <formula>0.96</formula>
      <formula>1</formula>
    </cfRule>
    <cfRule type="cellIs" dxfId="176" priority="238" operator="between">
      <formula>0.75</formula>
      <formula>95.9999</formula>
    </cfRule>
  </conditionalFormatting>
  <conditionalFormatting sqref="E25">
    <cfRule type="cellIs" dxfId="175" priority="235" operator="between">
      <formula>0.6</formula>
      <formula>74.9999%</formula>
    </cfRule>
    <cfRule type="cellIs" dxfId="174" priority="234" operator="between">
      <formula>0.75</formula>
      <formula>95.9999</formula>
    </cfRule>
    <cfRule type="cellIs" dxfId="173" priority="233" operator="between">
      <formula>0.96</formula>
      <formula>1</formula>
    </cfRule>
    <cfRule type="cellIs" dxfId="172" priority="236" operator="between">
      <formula>0</formula>
      <formula>59.9999%</formula>
    </cfRule>
  </conditionalFormatting>
  <conditionalFormatting sqref="E42">
    <cfRule type="cellIs" dxfId="171" priority="232" operator="between">
      <formula>0</formula>
      <formula>59.9999%</formula>
    </cfRule>
    <cfRule type="cellIs" dxfId="170" priority="231" operator="between">
      <formula>0.6</formula>
      <formula>74.9999%</formula>
    </cfRule>
    <cfRule type="cellIs" dxfId="169" priority="230" operator="between">
      <formula>0.75</formula>
      <formula>95.9999</formula>
    </cfRule>
    <cfRule type="cellIs" dxfId="168" priority="229" operator="between">
      <formula>0.96</formula>
      <formula>1</formula>
    </cfRule>
  </conditionalFormatting>
  <conditionalFormatting sqref="E52">
    <cfRule type="cellIs" dxfId="167" priority="228" operator="between">
      <formula>0</formula>
      <formula>59.9999%</formula>
    </cfRule>
    <cfRule type="cellIs" dxfId="166" priority="227" operator="between">
      <formula>0.6</formula>
      <formula>74.9999%</formula>
    </cfRule>
    <cfRule type="cellIs" dxfId="165" priority="226" operator="between">
      <formula>0.75</formula>
      <formula>95.9999</formula>
    </cfRule>
    <cfRule type="cellIs" dxfId="164" priority="225" operator="between">
      <formula>0.96</formula>
      <formula>1</formula>
    </cfRule>
  </conditionalFormatting>
  <conditionalFormatting sqref="E59">
    <cfRule type="cellIs" dxfId="163" priority="224" operator="between">
      <formula>0</formula>
      <formula>59.9999%</formula>
    </cfRule>
    <cfRule type="cellIs" dxfId="162" priority="221" operator="between">
      <formula>0.96</formula>
      <formula>1</formula>
    </cfRule>
    <cfRule type="cellIs" dxfId="161" priority="222" operator="between">
      <formula>0.75</formula>
      <formula>95.9999</formula>
    </cfRule>
    <cfRule type="cellIs" dxfId="160" priority="223" operator="between">
      <formula>0.6</formula>
      <formula>74.9999%</formula>
    </cfRule>
  </conditionalFormatting>
  <conditionalFormatting sqref="E72">
    <cfRule type="cellIs" dxfId="159" priority="217" operator="between">
      <formula>0.96</formula>
      <formula>1</formula>
    </cfRule>
    <cfRule type="cellIs" dxfId="158" priority="218" operator="between">
      <formula>0.75</formula>
      <formula>95.9999</formula>
    </cfRule>
    <cfRule type="cellIs" dxfId="157" priority="219" operator="between">
      <formula>0.6</formula>
      <formula>74.9999%</formula>
    </cfRule>
    <cfRule type="cellIs" dxfId="156" priority="220" operator="between">
      <formula>0</formula>
      <formula>59.9999%</formula>
    </cfRule>
  </conditionalFormatting>
  <conditionalFormatting sqref="E84">
    <cfRule type="cellIs" dxfId="155" priority="213" operator="between">
      <formula>0.96</formula>
      <formula>1</formula>
    </cfRule>
    <cfRule type="cellIs" dxfId="154" priority="214" operator="between">
      <formula>0.75</formula>
      <formula>95.9999</formula>
    </cfRule>
    <cfRule type="cellIs" dxfId="153" priority="215" operator="between">
      <formula>0.6</formula>
      <formula>74.9999%</formula>
    </cfRule>
    <cfRule type="cellIs" dxfId="152" priority="216" operator="between">
      <formula>0</formula>
      <formula>59.9999%</formula>
    </cfRule>
  </conditionalFormatting>
  <conditionalFormatting sqref="E97">
    <cfRule type="cellIs" dxfId="151" priority="210" operator="between">
      <formula>0.75</formula>
      <formula>95.9999</formula>
    </cfRule>
    <cfRule type="cellIs" dxfId="150" priority="209" operator="between">
      <formula>0.96</formula>
      <formula>1</formula>
    </cfRule>
    <cfRule type="cellIs" dxfId="149" priority="212" operator="between">
      <formula>0</formula>
      <formula>59.9999%</formula>
    </cfRule>
    <cfRule type="cellIs" dxfId="148" priority="211" operator="between">
      <formula>0.6</formula>
      <formula>74.9999%</formula>
    </cfRule>
  </conditionalFormatting>
  <conditionalFormatting sqref="E103">
    <cfRule type="cellIs" dxfId="147" priority="208" operator="between">
      <formula>0</formula>
      <formula>59.9999%</formula>
    </cfRule>
    <cfRule type="cellIs" dxfId="146" priority="207" operator="between">
      <formula>0.6</formula>
      <formula>74.9999%</formula>
    </cfRule>
    <cfRule type="cellIs" dxfId="145" priority="206" operator="between">
      <formula>0.75</formula>
      <formula>95.9999</formula>
    </cfRule>
    <cfRule type="cellIs" dxfId="144" priority="205" operator="between">
      <formula>0.96</formula>
      <formula>1</formula>
    </cfRule>
  </conditionalFormatting>
  <conditionalFormatting sqref="E109">
    <cfRule type="cellIs" dxfId="143" priority="204" operator="between">
      <formula>0</formula>
      <formula>59.9999%</formula>
    </cfRule>
    <cfRule type="cellIs" dxfId="142" priority="203" operator="between">
      <formula>0.6</formula>
      <formula>74.9999%</formula>
    </cfRule>
    <cfRule type="cellIs" dxfId="141" priority="202" operator="between">
      <formula>0.75</formula>
      <formula>95.9999</formula>
    </cfRule>
    <cfRule type="cellIs" dxfId="140" priority="201" operator="between">
      <formula>0.96</formula>
      <formula>1</formula>
    </cfRule>
  </conditionalFormatting>
  <conditionalFormatting sqref="E117">
    <cfRule type="cellIs" dxfId="139" priority="200" operator="between">
      <formula>0</formula>
      <formula>59.9999%</formula>
    </cfRule>
    <cfRule type="cellIs" dxfId="138" priority="199" operator="between">
      <formula>0.6</formula>
      <formula>74.9999%</formula>
    </cfRule>
    <cfRule type="cellIs" dxfId="137" priority="197" operator="between">
      <formula>0.96</formula>
      <formula>1</formula>
    </cfRule>
    <cfRule type="cellIs" dxfId="136" priority="198" operator="between">
      <formula>0.75</formula>
      <formula>95.9999</formula>
    </cfRule>
  </conditionalFormatting>
  <conditionalFormatting sqref="E124">
    <cfRule type="cellIs" dxfId="135" priority="159" operator="between">
      <formula>0.6</formula>
      <formula>74.9999%</formula>
    </cfRule>
    <cfRule type="cellIs" dxfId="134" priority="158" operator="between">
      <formula>0.75</formula>
      <formula>95.9999</formula>
    </cfRule>
    <cfRule type="cellIs" dxfId="133" priority="157" operator="between">
      <formula>0.96</formula>
      <formula>1</formula>
    </cfRule>
    <cfRule type="cellIs" dxfId="132" priority="160" operator="between">
      <formula>0</formula>
      <formula>59.9999%</formula>
    </cfRule>
  </conditionalFormatting>
  <conditionalFormatting sqref="E135">
    <cfRule type="cellIs" dxfId="131" priority="193" operator="between">
      <formula>0.96</formula>
      <formula>1</formula>
    </cfRule>
    <cfRule type="cellIs" dxfId="130" priority="194" operator="between">
      <formula>0.75</formula>
      <formula>95.9999</formula>
    </cfRule>
    <cfRule type="cellIs" dxfId="129" priority="195" operator="between">
      <formula>0.6</formula>
      <formula>74.9999%</formula>
    </cfRule>
    <cfRule type="cellIs" dxfId="128" priority="196" operator="between">
      <formula>0</formula>
      <formula>59.9999%</formula>
    </cfRule>
  </conditionalFormatting>
  <conditionalFormatting sqref="E146">
    <cfRule type="cellIs" dxfId="127" priority="148" operator="between">
      <formula>0</formula>
      <formula>59.9999%</formula>
    </cfRule>
    <cfRule type="cellIs" dxfId="126" priority="147" operator="between">
      <formula>0.6</formula>
      <formula>74.9999%</formula>
    </cfRule>
    <cfRule type="cellIs" dxfId="125" priority="146" operator="between">
      <formula>0.75</formula>
      <formula>95.9999</formula>
    </cfRule>
    <cfRule type="cellIs" dxfId="124" priority="145" operator="between">
      <formula>0.96</formula>
      <formula>1</formula>
    </cfRule>
  </conditionalFormatting>
  <conditionalFormatting sqref="E151">
    <cfRule type="cellIs" dxfId="123" priority="187" operator="between">
      <formula>0.6</formula>
      <formula>74.9999%</formula>
    </cfRule>
    <cfRule type="cellIs" dxfId="122" priority="185" operator="between">
      <formula>0.96</formula>
      <formula>1</formula>
    </cfRule>
    <cfRule type="cellIs" dxfId="121" priority="186" operator="between">
      <formula>0.75</formula>
      <formula>95.9999</formula>
    </cfRule>
    <cfRule type="cellIs" dxfId="120" priority="188" operator="between">
      <formula>0</formula>
      <formula>59.9999%</formula>
    </cfRule>
  </conditionalFormatting>
  <conditionalFormatting sqref="E159">
    <cfRule type="cellIs" dxfId="119" priority="182" operator="between">
      <formula>0.75</formula>
      <formula>95.9999</formula>
    </cfRule>
    <cfRule type="cellIs" dxfId="118" priority="183" operator="between">
      <formula>0.6</formula>
      <formula>74.9999%</formula>
    </cfRule>
    <cfRule type="cellIs" dxfId="117" priority="184" operator="between">
      <formula>0</formula>
      <formula>59.9999%</formula>
    </cfRule>
    <cfRule type="cellIs" dxfId="116" priority="181" operator="between">
      <formula>0.96</formula>
      <formula>1</formula>
    </cfRule>
  </conditionalFormatting>
  <conditionalFormatting sqref="E168">
    <cfRule type="cellIs" dxfId="115" priority="116" operator="between">
      <formula>0</formula>
      <formula>59.9999%</formula>
    </cfRule>
    <cfRule type="cellIs" dxfId="114" priority="115" operator="between">
      <formula>0.6</formula>
      <formula>74.9999%</formula>
    </cfRule>
    <cfRule type="cellIs" dxfId="113" priority="114" operator="between">
      <formula>0.75</formula>
      <formula>95.9999</formula>
    </cfRule>
    <cfRule type="cellIs" dxfId="112" priority="113" operator="between">
      <formula>0.96</formula>
      <formula>1</formula>
    </cfRule>
  </conditionalFormatting>
  <conditionalFormatting sqref="E181">
    <cfRule type="cellIs" dxfId="111" priority="112" operator="between">
      <formula>0</formula>
      <formula>59.9999%</formula>
    </cfRule>
    <cfRule type="cellIs" dxfId="110" priority="109" operator="between">
      <formula>0.96</formula>
      <formula>1</formula>
    </cfRule>
    <cfRule type="cellIs" dxfId="109" priority="110" operator="between">
      <formula>0.75</formula>
      <formula>95.9999</formula>
    </cfRule>
    <cfRule type="cellIs" dxfId="108" priority="111" operator="between">
      <formula>0.6</formula>
      <formula>74.9999%</formula>
    </cfRule>
  </conditionalFormatting>
  <conditionalFormatting sqref="E186">
    <cfRule type="cellIs" dxfId="107" priority="108" operator="between">
      <formula>0</formula>
      <formula>59.9999%</formula>
    </cfRule>
    <cfRule type="cellIs" dxfId="106" priority="106" operator="between">
      <formula>0.75</formula>
      <formula>95.9999</formula>
    </cfRule>
    <cfRule type="cellIs" dxfId="105" priority="105" operator="between">
      <formula>0.96</formula>
      <formula>1</formula>
    </cfRule>
    <cfRule type="cellIs" dxfId="104" priority="107" operator="between">
      <formula>0.6</formula>
      <formula>74.9999%</formula>
    </cfRule>
  </conditionalFormatting>
  <conditionalFormatting sqref="E190">
    <cfRule type="cellIs" dxfId="103" priority="104" operator="between">
      <formula>0</formula>
      <formula>59.9999%</formula>
    </cfRule>
    <cfRule type="cellIs" dxfId="102" priority="101" operator="between">
      <formula>0.96</formula>
      <formula>1</formula>
    </cfRule>
    <cfRule type="cellIs" dxfId="101" priority="102" operator="between">
      <formula>0.75</formula>
      <formula>95.9999</formula>
    </cfRule>
    <cfRule type="cellIs" dxfId="100" priority="103" operator="between">
      <formula>0.6</formula>
      <formula>74.9999%</formula>
    </cfRule>
  </conditionalFormatting>
  <conditionalFormatting sqref="E197">
    <cfRule type="cellIs" dxfId="99" priority="81" operator="between">
      <formula>0.96</formula>
      <formula>1</formula>
    </cfRule>
    <cfRule type="cellIs" dxfId="98" priority="82" operator="between">
      <formula>0.75</formula>
      <formula>95.9999</formula>
    </cfRule>
    <cfRule type="cellIs" dxfId="97" priority="83" operator="between">
      <formula>0.6</formula>
      <formula>74.9999%</formula>
    </cfRule>
    <cfRule type="cellIs" dxfId="96" priority="84" operator="between">
      <formula>0</formula>
      <formula>59.9999%</formula>
    </cfRule>
  </conditionalFormatting>
  <conditionalFormatting sqref="E203">
    <cfRule type="cellIs" dxfId="95" priority="77" operator="between">
      <formula>0.96</formula>
      <formula>1</formula>
    </cfRule>
    <cfRule type="cellIs" dxfId="94" priority="78" operator="between">
      <formula>0.75</formula>
      <formula>95.9999</formula>
    </cfRule>
    <cfRule type="cellIs" dxfId="93" priority="79" operator="between">
      <formula>0.6</formula>
      <formula>74.9999%</formula>
    </cfRule>
    <cfRule type="cellIs" dxfId="92" priority="80" operator="between">
      <formula>0</formula>
      <formula>59.9999%</formula>
    </cfRule>
  </conditionalFormatting>
  <conditionalFormatting sqref="E212">
    <cfRule type="cellIs" dxfId="91" priority="74" operator="between">
      <formula>0.75</formula>
      <formula>95.9999</formula>
    </cfRule>
    <cfRule type="cellIs" dxfId="90" priority="73" operator="between">
      <formula>0.96</formula>
      <formula>1</formula>
    </cfRule>
    <cfRule type="cellIs" dxfId="89" priority="75" operator="between">
      <formula>0.6</formula>
      <formula>74.9999%</formula>
    </cfRule>
    <cfRule type="cellIs" dxfId="88" priority="76" operator="between">
      <formula>0</formula>
      <formula>59.9999%</formula>
    </cfRule>
  </conditionalFormatting>
  <conditionalFormatting sqref="E222">
    <cfRule type="cellIs" dxfId="87" priority="70" operator="between">
      <formula>0.75</formula>
      <formula>95.9999</formula>
    </cfRule>
    <cfRule type="cellIs" dxfId="86" priority="71" operator="between">
      <formula>0.6</formula>
      <formula>74.9999%</formula>
    </cfRule>
    <cfRule type="cellIs" dxfId="85" priority="72" operator="between">
      <formula>0</formula>
      <formula>59.9999%</formula>
    </cfRule>
    <cfRule type="cellIs" dxfId="84" priority="69" operator="between">
      <formula>0.96</formula>
      <formula>1</formula>
    </cfRule>
  </conditionalFormatting>
  <conditionalFormatting sqref="E231">
    <cfRule type="cellIs" dxfId="83" priority="65" operator="between">
      <formula>0.96</formula>
      <formula>1</formula>
    </cfRule>
    <cfRule type="cellIs" dxfId="82" priority="66" operator="between">
      <formula>0.75</formula>
      <formula>95.9999</formula>
    </cfRule>
    <cfRule type="cellIs" dxfId="81" priority="67" operator="between">
      <formula>0.6</formula>
      <formula>74.9999%</formula>
    </cfRule>
    <cfRule type="cellIs" dxfId="80" priority="68" operator="between">
      <formula>0</formula>
      <formula>59.9999%</formula>
    </cfRule>
  </conditionalFormatting>
  <conditionalFormatting sqref="E241">
    <cfRule type="cellIs" dxfId="79" priority="62" operator="between">
      <formula>0.75</formula>
      <formula>95.9999</formula>
    </cfRule>
    <cfRule type="cellIs" dxfId="78" priority="63" operator="between">
      <formula>0.6</formula>
      <formula>74.9999%</formula>
    </cfRule>
    <cfRule type="cellIs" dxfId="77" priority="64" operator="between">
      <formula>0</formula>
      <formula>59.9999%</formula>
    </cfRule>
    <cfRule type="cellIs" dxfId="76" priority="61" operator="between">
      <formula>0.96</formula>
      <formula>1</formula>
    </cfRule>
  </conditionalFormatting>
  <conditionalFormatting sqref="E246">
    <cfRule type="cellIs" dxfId="75" priority="60" operator="between">
      <formula>0</formula>
      <formula>59.9999%</formula>
    </cfRule>
    <cfRule type="cellIs" dxfId="74" priority="59" operator="between">
      <formula>0.6</formula>
      <formula>74.9999%</formula>
    </cfRule>
    <cfRule type="cellIs" dxfId="73" priority="58" operator="between">
      <formula>0.75</formula>
      <formula>95.9999</formula>
    </cfRule>
    <cfRule type="cellIs" dxfId="72" priority="57" operator="between">
      <formula>0.96</formula>
      <formula>1</formula>
    </cfRule>
  </conditionalFormatting>
  <conditionalFormatting sqref="E254">
    <cfRule type="cellIs" dxfId="71" priority="55" operator="between">
      <formula>0.6</formula>
      <formula>74.9999%</formula>
    </cfRule>
    <cfRule type="cellIs" dxfId="70" priority="56" operator="between">
      <formula>0</formula>
      <formula>59.9999%</formula>
    </cfRule>
    <cfRule type="cellIs" dxfId="69" priority="54" operator="between">
      <formula>0.75</formula>
      <formula>95.9999</formula>
    </cfRule>
    <cfRule type="cellIs" dxfId="68" priority="53" operator="between">
      <formula>0.96</formula>
      <formula>1</formula>
    </cfRule>
  </conditionalFormatting>
  <conditionalFormatting sqref="E259">
    <cfRule type="cellIs" dxfId="67" priority="52" operator="between">
      <formula>0</formula>
      <formula>59.9999%</formula>
    </cfRule>
    <cfRule type="cellIs" dxfId="66" priority="51" operator="between">
      <formula>0.6</formula>
      <formula>74.9999%</formula>
    </cfRule>
    <cfRule type="cellIs" dxfId="65" priority="50" operator="between">
      <formula>0.75</formula>
      <formula>95.9999</formula>
    </cfRule>
    <cfRule type="cellIs" dxfId="64" priority="49" operator="between">
      <formula>0.96</formula>
      <formula>1</formula>
    </cfRule>
  </conditionalFormatting>
  <conditionalFormatting sqref="E270">
    <cfRule type="cellIs" dxfId="63" priority="47" operator="between">
      <formula>0.6</formula>
      <formula>74.9999%</formula>
    </cfRule>
    <cfRule type="cellIs" dxfId="62" priority="45" operator="between">
      <formula>0.96</formula>
      <formula>1</formula>
    </cfRule>
    <cfRule type="cellIs" dxfId="61" priority="46" operator="between">
      <formula>0.75</formula>
      <formula>95.9999</formula>
    </cfRule>
    <cfRule type="cellIs" dxfId="60" priority="48" operator="between">
      <formula>0</formula>
      <formula>59.9999%</formula>
    </cfRule>
  </conditionalFormatting>
  <conditionalFormatting sqref="E284">
    <cfRule type="cellIs" dxfId="59" priority="41" operator="between">
      <formula>0.96</formula>
      <formula>1</formula>
    </cfRule>
    <cfRule type="cellIs" dxfId="58" priority="42" operator="between">
      <formula>0.75</formula>
      <formula>95.9999</formula>
    </cfRule>
    <cfRule type="cellIs" dxfId="57" priority="43" operator="between">
      <formula>0.6</formula>
      <formula>74.9999%</formula>
    </cfRule>
    <cfRule type="cellIs" dxfId="56" priority="44" operator="between">
      <formula>0</formula>
      <formula>59.9999%</formula>
    </cfRule>
  </conditionalFormatting>
  <conditionalFormatting sqref="E292">
    <cfRule type="cellIs" dxfId="55" priority="40" operator="between">
      <formula>0</formula>
      <formula>59.9999%</formula>
    </cfRule>
    <cfRule type="cellIs" dxfId="54" priority="39" operator="between">
      <formula>0.6</formula>
      <formula>74.9999%</formula>
    </cfRule>
    <cfRule type="cellIs" dxfId="53" priority="38" operator="between">
      <formula>0.75</formula>
      <formula>95.9999</formula>
    </cfRule>
    <cfRule type="cellIs" dxfId="52" priority="37" operator="between">
      <formula>0.96</formula>
      <formula>1</formula>
    </cfRule>
  </conditionalFormatting>
  <conditionalFormatting sqref="E298">
    <cfRule type="cellIs" dxfId="51" priority="33" operator="between">
      <formula>0.96</formula>
      <formula>1</formula>
    </cfRule>
    <cfRule type="cellIs" dxfId="50" priority="34" operator="between">
      <formula>0.75</formula>
      <formula>95.9999</formula>
    </cfRule>
    <cfRule type="cellIs" dxfId="49" priority="35" operator="between">
      <formula>0.6</formula>
      <formula>74.9999%</formula>
    </cfRule>
    <cfRule type="cellIs" dxfId="48" priority="36" operator="between">
      <formula>0</formula>
      <formula>59.9999%</formula>
    </cfRule>
  </conditionalFormatting>
  <conditionalFormatting sqref="E308">
    <cfRule type="cellIs" dxfId="47" priority="32" operator="between">
      <formula>0</formula>
      <formula>59.9999%</formula>
    </cfRule>
    <cfRule type="cellIs" dxfId="46" priority="31" operator="between">
      <formula>0.6</formula>
      <formula>74.9999%</formula>
    </cfRule>
    <cfRule type="cellIs" dxfId="45" priority="30" operator="between">
      <formula>0.75</formula>
      <formula>95.9999</formula>
    </cfRule>
    <cfRule type="cellIs" dxfId="44" priority="29" operator="between">
      <formula>0.96</formula>
      <formula>1</formula>
    </cfRule>
  </conditionalFormatting>
  <conditionalFormatting sqref="E322">
    <cfRule type="cellIs" dxfId="43" priority="28" operator="between">
      <formula>0</formula>
      <formula>59.9999%</formula>
    </cfRule>
    <cfRule type="cellIs" dxfId="42" priority="27" operator="between">
      <formula>0.6</formula>
      <formula>74.9999%</formula>
    </cfRule>
    <cfRule type="cellIs" dxfId="41" priority="26" operator="between">
      <formula>0.75</formula>
      <formula>95.9999</formula>
    </cfRule>
    <cfRule type="cellIs" dxfId="40" priority="25" operator="between">
      <formula>0.96</formula>
      <formula>1</formula>
    </cfRule>
  </conditionalFormatting>
  <conditionalFormatting sqref="E327">
    <cfRule type="cellIs" dxfId="39" priority="22" operator="between">
      <formula>0.75</formula>
      <formula>95.9999</formula>
    </cfRule>
    <cfRule type="cellIs" dxfId="38" priority="24" operator="between">
      <formula>0</formula>
      <formula>59.9999%</formula>
    </cfRule>
    <cfRule type="cellIs" dxfId="37" priority="23" operator="between">
      <formula>0.6</formula>
      <formula>74.9999%</formula>
    </cfRule>
    <cfRule type="cellIs" dxfId="36" priority="21" operator="between">
      <formula>0.96</formula>
      <formula>1</formula>
    </cfRule>
  </conditionalFormatting>
  <conditionalFormatting sqref="E342">
    <cfRule type="cellIs" dxfId="35" priority="18" operator="between">
      <formula>0.75</formula>
      <formula>95.9999</formula>
    </cfRule>
    <cfRule type="cellIs" dxfId="34" priority="17" operator="between">
      <formula>0.96</formula>
      <formula>1</formula>
    </cfRule>
    <cfRule type="cellIs" dxfId="33" priority="20" operator="between">
      <formula>0</formula>
      <formula>59.9999%</formula>
    </cfRule>
    <cfRule type="cellIs" dxfId="32" priority="19" operator="between">
      <formula>0.6</formula>
      <formula>74.9999%</formula>
    </cfRule>
  </conditionalFormatting>
  <conditionalFormatting sqref="E350">
    <cfRule type="cellIs" dxfId="31" priority="15" operator="between">
      <formula>0.6</formula>
      <formula>74.9999%</formula>
    </cfRule>
    <cfRule type="cellIs" dxfId="30" priority="14" operator="between">
      <formula>0.75</formula>
      <formula>95.9999</formula>
    </cfRule>
    <cfRule type="cellIs" dxfId="29" priority="13" operator="between">
      <formula>0.96</formula>
      <formula>1</formula>
    </cfRule>
    <cfRule type="cellIs" dxfId="28" priority="16" operator="between">
      <formula>0</formula>
      <formula>59.9999%</formula>
    </cfRule>
  </conditionalFormatting>
  <conditionalFormatting sqref="G25">
    <cfRule type="cellIs" dxfId="27" priority="127" operator="between">
      <formula>0.6</formula>
      <formula>74.9999%</formula>
    </cfRule>
    <cfRule type="cellIs" dxfId="26" priority="128" operator="between">
      <formula>0</formula>
      <formula>59.9999%</formula>
    </cfRule>
    <cfRule type="cellIs" dxfId="25" priority="125" operator="between">
      <formula>0.96</formula>
      <formula>1</formula>
    </cfRule>
    <cfRule type="cellIs" dxfId="24" priority="126" operator="between">
      <formula>0.75</formula>
      <formula>95.9999</formula>
    </cfRule>
  </conditionalFormatting>
  <conditionalFormatting sqref="G72">
    <cfRule type="cellIs" dxfId="23" priority="142" operator="between">
      <formula>0.75</formula>
      <formula>95.9999</formula>
    </cfRule>
    <cfRule type="cellIs" dxfId="22" priority="141" operator="between">
      <formula>0.96</formula>
      <formula>1</formula>
    </cfRule>
    <cfRule type="cellIs" dxfId="21" priority="144" operator="between">
      <formula>0</formula>
      <formula>59.9999%</formula>
    </cfRule>
    <cfRule type="cellIs" dxfId="20" priority="143" operator="between">
      <formula>0.6</formula>
      <formula>74.9999%</formula>
    </cfRule>
  </conditionalFormatting>
  <conditionalFormatting sqref="G146">
    <cfRule type="cellIs" dxfId="19" priority="136" operator="between">
      <formula>0</formula>
      <formula>59.9999%</formula>
    </cfRule>
    <cfRule type="cellIs" dxfId="18" priority="134" operator="between">
      <formula>0.75</formula>
      <formula>95.9999</formula>
    </cfRule>
    <cfRule type="cellIs" dxfId="17" priority="133" operator="between">
      <formula>0.96</formula>
      <formula>1</formula>
    </cfRule>
    <cfRule type="cellIs" dxfId="16" priority="135" operator="between">
      <formula>0.6</formula>
      <formula>74.9999%</formula>
    </cfRule>
  </conditionalFormatting>
  <conditionalFormatting sqref="G212">
    <cfRule type="cellIs" dxfId="15" priority="132" operator="between">
      <formula>0</formula>
      <formula>59.9999%</formula>
    </cfRule>
    <cfRule type="cellIs" dxfId="14" priority="131" operator="between">
      <formula>0.6</formula>
      <formula>74.9999%</formula>
    </cfRule>
    <cfRule type="cellIs" dxfId="13" priority="130" operator="between">
      <formula>0.75</formula>
      <formula>95.9999</formula>
    </cfRule>
    <cfRule type="cellIs" dxfId="12" priority="129" operator="between">
      <formula>0.96</formula>
      <formula>1</formula>
    </cfRule>
  </conditionalFormatting>
  <conditionalFormatting sqref="G270">
    <cfRule type="cellIs" dxfId="11" priority="11" operator="between">
      <formula>0.6</formula>
      <formula>74.9999%</formula>
    </cfRule>
    <cfRule type="cellIs" dxfId="10" priority="10" operator="between">
      <formula>0.75</formula>
      <formula>95.9999</formula>
    </cfRule>
    <cfRule type="cellIs" dxfId="9" priority="9" operator="between">
      <formula>0.96</formula>
      <formula>1</formula>
    </cfRule>
    <cfRule type="cellIs" dxfId="8" priority="12" operator="between">
      <formula>0</formula>
      <formula>59.9999%</formula>
    </cfRule>
  </conditionalFormatting>
  <conditionalFormatting sqref="G322">
    <cfRule type="cellIs" dxfId="7" priority="8" operator="between">
      <formula>0</formula>
      <formula>59.9999%</formula>
    </cfRule>
    <cfRule type="cellIs" dxfId="6" priority="7" operator="between">
      <formula>0.6</formula>
      <formula>74.9999%</formula>
    </cfRule>
    <cfRule type="cellIs" dxfId="5" priority="6" operator="between">
      <formula>0.75</formula>
      <formula>95.9999</formula>
    </cfRule>
    <cfRule type="cellIs" dxfId="4" priority="5" operator="between">
      <formula>0.96</formula>
      <formula>1</formula>
    </cfRule>
  </conditionalFormatting>
  <conditionalFormatting sqref="G350">
    <cfRule type="cellIs" dxfId="3" priority="4" operator="between">
      <formula>0</formula>
      <formula>59.9999%</formula>
    </cfRule>
    <cfRule type="cellIs" dxfId="2" priority="3" operator="between">
      <formula>0.6</formula>
      <formula>74.9999%</formula>
    </cfRule>
    <cfRule type="cellIs" dxfId="1" priority="1" operator="between">
      <formula>0.96</formula>
      <formula>1</formula>
    </cfRule>
    <cfRule type="cellIs" dxfId="0" priority="2" operator="between">
      <formula>0.75</formula>
      <formula>95.9999</formula>
    </cfRule>
  </conditionalFormatting>
  <dataValidations count="1">
    <dataValidation type="list" allowBlank="1" showInputMessage="1" showErrorMessage="1" sqref="C8:C11 C14:C20 C28:C42 C76:C83 C87:C96 C105:C108 C119:C123 C127:C134 C137:C145 C153:C158 C4:C5 C23:C26 C44:C51 C54:C58 C61:C71 C99:C102 C111:C116 C149:C150 C161:C167 C171:C180 C205:C211 C224:C230 C233:C240 C183:C185 C188:C189 C193:C196 C199:C202 C216:C221 C244:C245 C261:C269 C274:C283 C300:C307 C310:C321 C329:C341 C248:C253 C256:C258 C286:C291 C295:C297 C325:C326 C344:C349" xr:uid="{00000000-0002-0000-0300-000000000000}">
      <formula1>"0,1,2,N"</formula1>
    </dataValidation>
  </dataValidations>
  <hyperlinks>
    <hyperlink ref="D1" location="Contenido!A11" display="ÍNDICE" xr:uid="{00000000-0004-0000-0300-000000000000}"/>
  </hyperlinks>
  <pageMargins left="0.75" right="0.75" top="1" bottom="1" header="0.5" footer="0.5"/>
  <pageSetup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Contenido</vt:lpstr>
      <vt:lpstr>SGC</vt:lpstr>
      <vt:lpstr>SGA</vt:lpstr>
      <vt:lpstr>SST</vt:lpstr>
    </vt:vector>
  </TitlesOfParts>
  <Company>PYQ Consulting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Nicolás Fernando Bedoya Mejía</dc:creator>
  <cp:lastModifiedBy>Nicolás Fernando Bedoya Mejía</cp:lastModifiedBy>
  <dcterms:created xsi:type="dcterms:W3CDTF">2014-01-09T19:54:51Z</dcterms:created>
  <dcterms:modified xsi:type="dcterms:W3CDTF">2026-09-01T23:55:57Z</dcterms:modified>
</cp:coreProperties>
</file>